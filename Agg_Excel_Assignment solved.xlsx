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" ContentType="application/binary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/>
  <mc:AlternateContent xmlns:mc="http://schemas.openxmlformats.org/markup-compatibility/2006">
    <mc:Choice Requires="x15">
      <x15ac:absPath xmlns:x15ac="http://schemas.microsoft.com/office/spreadsheetml/2010/11/ac" url="https://d.docs.live.net/36e2f385b3fd935a/Desktop/"/>
    </mc:Choice>
  </mc:AlternateContent>
  <xr:revisionPtr revIDLastSave="0" documentId="8_{19F95817-470B-40D2-AAD8-8572A189D517}" xr6:coauthVersionLast="47" xr6:coauthVersionMax="47" xr10:uidLastSave="{00000000-0000-0000-0000-000000000000}"/>
  <bookViews>
    <workbookView xWindow="-108" yWindow="-108" windowWidth="23256" windowHeight="13896" activeTab="2" xr2:uid="{00000000-000D-0000-FFFF-FFFF00000000}"/>
  </bookViews>
  <sheets>
    <sheet name="Ex1" sheetId="1" r:id="rId1"/>
    <sheet name="Ex2" sheetId="2" r:id="rId2"/>
    <sheet name="Ex3" sheetId="4" r:id="rId3"/>
  </sheets>
  <definedNames>
    <definedName name="_xlnm._FilterDatabase" localSheetId="0" hidden="1">'Ex1'!$A$1:$G$21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uri="GoogleSheetsCustomDataVersion2">
      <go:sheetsCustomData xmlns:go="http://customooxmlschemas.google.com/" r:id="rId8" roundtripDataChecksum="ht4alWRFs1zp9w5XrszvZUmRj5dwKTVoXUMpzRO43d0="/>
    </ext>
  </extLst>
</workbook>
</file>

<file path=xl/calcChain.xml><?xml version="1.0" encoding="utf-8"?>
<calcChain xmlns="http://schemas.openxmlformats.org/spreadsheetml/2006/main">
  <c r="M10" i="4" l="1"/>
  <c r="M8" i="4"/>
  <c r="M6" i="4"/>
  <c r="M4" i="4"/>
  <c r="J17" i="4"/>
  <c r="J16" i="4"/>
  <c r="J15" i="4"/>
  <c r="J14" i="4"/>
  <c r="J13" i="4"/>
  <c r="J7" i="4"/>
  <c r="J6" i="4"/>
  <c r="J5" i="4"/>
  <c r="J4" i="4"/>
  <c r="L18" i="2"/>
  <c r="L16" i="2"/>
  <c r="L14" i="2"/>
  <c r="K5" i="2"/>
  <c r="K9" i="2"/>
  <c r="K8" i="2"/>
  <c r="K7" i="2"/>
  <c r="K6" i="2"/>
  <c r="Q26" i="1"/>
  <c r="Q22" i="1"/>
  <c r="Q20" i="1"/>
  <c r="Q18" i="1"/>
  <c r="Q16" i="1"/>
  <c r="Q12" i="1"/>
  <c r="G28" i="1"/>
  <c r="G27" i="1"/>
  <c r="G26" i="1"/>
  <c r="G25" i="1"/>
  <c r="G24" i="1"/>
  <c r="J20" i="1"/>
  <c r="J24" i="1"/>
  <c r="J23" i="1"/>
  <c r="J22" i="1"/>
  <c r="J21" i="1"/>
  <c r="J16" i="1"/>
  <c r="J15" i="1"/>
  <c r="J14" i="1"/>
  <c r="J13" i="1"/>
  <c r="J12" i="1"/>
  <c r="K6" i="1"/>
  <c r="K5" i="1"/>
  <c r="K4" i="1"/>
</calcChain>
</file>

<file path=xl/sharedStrings.xml><?xml version="1.0" encoding="utf-8"?>
<sst xmlns="http://schemas.openxmlformats.org/spreadsheetml/2006/main" count="373" uniqueCount="132">
  <si>
    <t>Roll_No</t>
  </si>
  <si>
    <t>Name</t>
  </si>
  <si>
    <t>Lname</t>
  </si>
  <si>
    <t>Age</t>
  </si>
  <si>
    <t>City</t>
  </si>
  <si>
    <t>Subject</t>
  </si>
  <si>
    <t>Score</t>
  </si>
  <si>
    <t>Animesh</t>
  </si>
  <si>
    <t>Singh</t>
  </si>
  <si>
    <t>Delhi</t>
  </si>
  <si>
    <t>Python</t>
  </si>
  <si>
    <t>A1:G21</t>
  </si>
  <si>
    <t>Ankit</t>
  </si>
  <si>
    <t>Pandey</t>
  </si>
  <si>
    <t>Mumbai</t>
  </si>
  <si>
    <t>Tableau</t>
  </si>
  <si>
    <t>Funtion</t>
  </si>
  <si>
    <t>Result</t>
  </si>
  <si>
    <t>Formula</t>
  </si>
  <si>
    <t>Priya</t>
  </si>
  <si>
    <t>Gupta</t>
  </si>
  <si>
    <t>Noida</t>
  </si>
  <si>
    <t>SQL</t>
  </si>
  <si>
    <t>Count</t>
  </si>
  <si>
    <t>Count Student</t>
  </si>
  <si>
    <t>Anjali</t>
  </si>
  <si>
    <t>Verma</t>
  </si>
  <si>
    <t>ML</t>
  </si>
  <si>
    <t>Countblank</t>
  </si>
  <si>
    <t>Count Blank in LName</t>
  </si>
  <si>
    <t>Puklit</t>
  </si>
  <si>
    <t>Dubey</t>
  </si>
  <si>
    <t>Bangalore</t>
  </si>
  <si>
    <t>CountA</t>
  </si>
  <si>
    <t>Count of Non-null in Lname</t>
  </si>
  <si>
    <t>Nitesh</t>
  </si>
  <si>
    <t>Kumar</t>
  </si>
  <si>
    <t>AND</t>
  </si>
  <si>
    <t>Returns T when both conditions are T, otherwise F</t>
  </si>
  <si>
    <t>Ankush</t>
  </si>
  <si>
    <t>Singhla</t>
  </si>
  <si>
    <t>E2:E21</t>
  </si>
  <si>
    <t>OR</t>
  </si>
  <si>
    <t>Returns T when any one of the condition is T, otherwise F</t>
  </si>
  <si>
    <t>Dhruv</t>
  </si>
  <si>
    <t>Countif</t>
  </si>
  <si>
    <t>Age : D2</t>
  </si>
  <si>
    <t>Sub : F2</t>
  </si>
  <si>
    <t>City : E2</t>
  </si>
  <si>
    <t>Score : G2</t>
  </si>
  <si>
    <t>Name : B2</t>
  </si>
  <si>
    <t>Rahul</t>
  </si>
  <si>
    <t>Sharma</t>
  </si>
  <si>
    <t>Power BI</t>
  </si>
  <si>
    <t>City wise count of differrent Cities</t>
  </si>
  <si>
    <t>Countifs</t>
  </si>
  <si>
    <t>works on AND</t>
  </si>
  <si>
    <t>Vinay</t>
  </si>
  <si>
    <t>Countif Result</t>
  </si>
  <si>
    <t>Fun_Used</t>
  </si>
  <si>
    <t>Q1) Count of all the rows where Age&gt;25 and Subject is Python</t>
  </si>
  <si>
    <t>Ujjwal</t>
  </si>
  <si>
    <t>Paritosh</t>
  </si>
  <si>
    <t>Agarwal</t>
  </si>
  <si>
    <t>Q2) Count of all rows where Subject is Python or ML</t>
  </si>
  <si>
    <t>Twarita</t>
  </si>
  <si>
    <t>Nagar</t>
  </si>
  <si>
    <t>Utsav</t>
  </si>
  <si>
    <t>Dwivedi</t>
  </si>
  <si>
    <t>Pune</t>
  </si>
  <si>
    <t>Q3) Count all the rows where Score&gt;80 and City is not Delhi</t>
  </si>
  <si>
    <t>Neha</t>
  </si>
  <si>
    <t>Pulkit</t>
  </si>
  <si>
    <t>Jaiswal</t>
  </si>
  <si>
    <t>Q4) Count of Students who score between 70 and 80 (both inclusive)</t>
  </si>
  <si>
    <t>Akanksha</t>
  </si>
  <si>
    <t>Student Count for  different subjects</t>
  </si>
  <si>
    <t>Shreya</t>
  </si>
  <si>
    <t>Subjects</t>
  </si>
  <si>
    <t>Formula Used</t>
  </si>
  <si>
    <t>Q5) Count of Rows where Student name starts with A and Score less than 70</t>
  </si>
  <si>
    <t>Khushboo</t>
  </si>
  <si>
    <t>Abhishek</t>
  </si>
  <si>
    <t>Q6) Count of Rows where Student name starts and ends(Lname) with A</t>
  </si>
  <si>
    <t>sum</t>
  </si>
  <si>
    <t>min</t>
  </si>
  <si>
    <t xml:space="preserve">Q7) Count of Rows where Student First name is of 5 characters </t>
  </si>
  <si>
    <t>max</t>
  </si>
  <si>
    <t>count</t>
  </si>
  <si>
    <t>Count Unique</t>
  </si>
  <si>
    <t xml:space="preserve">Count </t>
  </si>
  <si>
    <t>avg</t>
  </si>
  <si>
    <t xml:space="preserve">Sum </t>
  </si>
  <si>
    <t>Sumif</t>
  </si>
  <si>
    <t>Sumifs</t>
  </si>
  <si>
    <t>Average</t>
  </si>
  <si>
    <t>Averageif</t>
  </si>
  <si>
    <t>Averageifs</t>
  </si>
  <si>
    <t>if</t>
  </si>
  <si>
    <t>and</t>
  </si>
  <si>
    <t>or</t>
  </si>
  <si>
    <t>Subject wise sum of Scores</t>
  </si>
  <si>
    <t>Sumif Result</t>
  </si>
  <si>
    <t>Formula_Used</t>
  </si>
  <si>
    <t xml:space="preserve"> works on AND</t>
  </si>
  <si>
    <t>Q1) Sum of Scores where City is Mumbai and Subject is ML</t>
  </si>
  <si>
    <t>Q2) Sum of Scores where City is Pune and Score&lt;80</t>
  </si>
  <si>
    <t>Q3) Sum of Score where Students Last Name ends with a and Subject is ML</t>
  </si>
  <si>
    <t>Q4) Sum of all Scores where Subject is Python or ML</t>
  </si>
  <si>
    <t>AvgScore</t>
  </si>
  <si>
    <t>Q1) Find Avg Score where City is Delhi and Age is more than 22</t>
  </si>
  <si>
    <t>Q2) Find AvgScore where City ends with 'i' and subject is ML</t>
  </si>
  <si>
    <t>Q4) Find AvgScore where Age is between 23 and 25</t>
  </si>
  <si>
    <t>COUNTA(B2:B21)</t>
  </si>
  <si>
    <t>COUNTIF(C2:C21,"")</t>
  </si>
  <si>
    <t>COUNTA(C2:C21)</t>
  </si>
  <si>
    <t>COUNTIF(E6:E25,"Bangalore")</t>
  </si>
  <si>
    <t>COUNTIF(E6:E25,"Delhi")</t>
  </si>
  <si>
    <t>COUNTIF(E6:E25,"Mumbai")</t>
  </si>
  <si>
    <t>COUNTIF(E6:E25,"Noida")</t>
  </si>
  <si>
    <t>COUNTIF(E6:E25,"Pune")</t>
  </si>
  <si>
    <t>COUNTIF(F2:F21,"SQL")</t>
  </si>
  <si>
    <t>COUNTIF(F2:F21,"Tableau")</t>
  </si>
  <si>
    <t>COUNTIF(F2:F21,"PowerBI")</t>
  </si>
  <si>
    <t>COUNTIF(F2:F21,"ML")</t>
  </si>
  <si>
    <t>COUNTIF(F2:F21,"Python")</t>
  </si>
  <si>
    <t>SUMIF(F2:F21,"Python",G2:G21)</t>
  </si>
  <si>
    <t>SUMIF(F2:F21,"ML",G2:G21)</t>
  </si>
  <si>
    <t>SUMIF(F2:F21,"Power BI",G2:G21)</t>
  </si>
  <si>
    <t>SUMIF(F2:F21,"SQL",G2:G21)</t>
  </si>
  <si>
    <t>SUMIF(F2:F21,"Tableay",G2:G21)</t>
  </si>
  <si>
    <t>Q3) Find AvgScore where Subject is SQL Age is less than 25 and FirstName Starts with 'A'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</si>
</sst>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8" x14ac:knownFonts="1">
    <font>
      <sz val="11"/>
      <color theme="1"/>
      <name val="Calibri"/>
      <scheme val="minor"/>
    </font>
    <font>
      <b/>
      <sz val="11"/>
      <color theme="1"/>
      <name val="Calibri"/>
    </font>
    <font>
      <sz val="11"/>
      <color theme="1"/>
      <name val="Calibri"/>
      <scheme val="minor"/>
    </font>
    <font>
      <sz val="11"/>
      <color theme="1"/>
      <name val="Calibri"/>
    </font>
    <font>
      <sz val="11"/>
      <name val="Calibri"/>
    </font>
    <font>
      <b/>
      <sz val="11"/>
      <color rgb="FF000000"/>
      <name val="Calibri"/>
    </font>
    <font>
      <sz val="11"/>
      <color rgb="FF000000"/>
      <name val="Calibri"/>
    </font>
    <font>
      <b/>
      <sz val="11"/>
      <color theme="1"/>
      <name val="Calibri"/>
      <scheme val="minor"/>
    </font>
  </fonts>
  <fills count="11">
    <fill>
      <patternFill patternType="none"/>
    </fill>
    <fill>
      <patternFill patternType="gray125"/>
    </fill>
    <fill>
      <patternFill patternType="solid">
        <fgColor rgb="FFFFE598"/>
        <bgColor rgb="FFFFE598"/>
      </patternFill>
    </fill>
    <fill>
      <patternFill patternType="solid">
        <fgColor rgb="FFF7CAAC"/>
        <bgColor rgb="FFF7CAAC"/>
      </patternFill>
    </fill>
    <fill>
      <patternFill patternType="solid">
        <fgColor rgb="FF8EAADB"/>
        <bgColor rgb="FF8EAADB"/>
      </patternFill>
    </fill>
    <fill>
      <patternFill patternType="solid">
        <fgColor rgb="FFFFD965"/>
        <bgColor rgb="FFFFD965"/>
      </patternFill>
    </fill>
    <fill>
      <patternFill patternType="solid">
        <fgColor rgb="FFF4B083"/>
        <bgColor rgb="FFF4B083"/>
      </patternFill>
    </fill>
    <fill>
      <patternFill patternType="solid">
        <fgColor rgb="FFC5E0B3"/>
        <bgColor rgb="FFC5E0B3"/>
      </patternFill>
    </fill>
    <fill>
      <patternFill patternType="solid">
        <fgColor rgb="FFB4C6E7"/>
        <bgColor rgb="FFB4C6E7"/>
      </patternFill>
    </fill>
    <fill>
      <patternFill patternType="solid">
        <fgColor rgb="FFA8D08D"/>
        <bgColor rgb="FFA8D08D"/>
      </patternFill>
    </fill>
    <fill>
      <patternFill patternType="solid">
        <fgColor rgb="FFFFE699"/>
        <bgColor rgb="FFFFE699"/>
      </patternFill>
    </fill>
  </fills>
  <borders count="13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/>
      <top/>
      <bottom/>
      <diagonal/>
    </border>
    <border>
      <left style="thin">
        <color rgb="FF000000"/>
      </left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/>
      <right/>
      <top/>
      <bottom/>
      <diagonal/>
    </border>
    <border>
      <left style="thin">
        <color rgb="FF000000"/>
      </left>
      <right/>
      <top style="thin">
        <color rgb="FF000000"/>
      </top>
      <bottom/>
      <diagonal/>
    </border>
    <border>
      <left/>
      <right/>
      <top style="thin">
        <color rgb="FF000000"/>
      </top>
      <bottom/>
      <diagonal/>
    </border>
    <border>
      <left/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38">
    <xf numFmtId="0" fontId="0" fillId="0" borderId="0" xfId="0"/>
    <xf numFmtId="0" fontId="1" fillId="2" borderId="1" xfId="0" applyFont="1" applyFill="1" applyBorder="1" applyAlignment="1">
      <alignment horizontal="center"/>
    </xf>
    <xf numFmtId="0" fontId="2" fillId="0" borderId="0" xfId="0" applyFont="1"/>
    <xf numFmtId="0" fontId="1" fillId="0" borderId="0" xfId="0" applyFont="1"/>
    <xf numFmtId="0" fontId="3" fillId="3" borderId="2" xfId="0" applyFont="1" applyFill="1" applyBorder="1"/>
    <xf numFmtId="0" fontId="3" fillId="0" borderId="0" xfId="0" applyFont="1" applyAlignment="1">
      <alignment horizontal="left"/>
    </xf>
    <xf numFmtId="0" fontId="1" fillId="4" borderId="2" xfId="0" applyFont="1" applyFill="1" applyBorder="1"/>
    <xf numFmtId="0" fontId="1" fillId="6" borderId="6" xfId="0" applyFont="1" applyFill="1" applyBorder="1"/>
    <xf numFmtId="0" fontId="1" fillId="6" borderId="1" xfId="0" applyFont="1" applyFill="1" applyBorder="1"/>
    <xf numFmtId="0" fontId="3" fillId="0" borderId="0" xfId="0" applyFont="1"/>
    <xf numFmtId="0" fontId="3" fillId="7" borderId="2" xfId="0" applyFont="1" applyFill="1" applyBorder="1"/>
    <xf numFmtId="0" fontId="1" fillId="0" borderId="0" xfId="0" applyFont="1" applyAlignment="1">
      <alignment horizontal="center"/>
    </xf>
    <xf numFmtId="0" fontId="1" fillId="8" borderId="2" xfId="0" applyFont="1" applyFill="1" applyBorder="1"/>
    <xf numFmtId="0" fontId="3" fillId="0" borderId="0" xfId="0" applyFont="1" applyAlignment="1">
      <alignment wrapText="1"/>
    </xf>
    <xf numFmtId="0" fontId="5" fillId="10" borderId="1" xfId="0" applyFont="1" applyFill="1" applyBorder="1" applyAlignment="1">
      <alignment horizontal="center"/>
    </xf>
    <xf numFmtId="0" fontId="6" fillId="0" borderId="0" xfId="0" applyFont="1" applyAlignment="1">
      <alignment horizontal="right"/>
    </xf>
    <xf numFmtId="0" fontId="6" fillId="0" borderId="0" xfId="0" applyFont="1"/>
    <xf numFmtId="0" fontId="7" fillId="0" borderId="0" xfId="0" applyFont="1"/>
    <xf numFmtId="0" fontId="1" fillId="5" borderId="3" xfId="0" applyFont="1" applyFill="1" applyBorder="1" applyAlignment="1">
      <alignment horizontal="left"/>
    </xf>
    <xf numFmtId="0" fontId="4" fillId="0" borderId="4" xfId="0" applyFont="1" applyBorder="1"/>
    <xf numFmtId="0" fontId="4" fillId="0" borderId="5" xfId="0" applyFont="1" applyBorder="1"/>
    <xf numFmtId="0" fontId="3" fillId="3" borderId="7" xfId="0" applyFont="1" applyFill="1" applyBorder="1" applyAlignment="1">
      <alignment horizontal="left"/>
    </xf>
    <xf numFmtId="0" fontId="3" fillId="7" borderId="7" xfId="0" applyFont="1" applyFill="1" applyBorder="1" applyAlignment="1">
      <alignment horizontal="left"/>
    </xf>
    <xf numFmtId="0" fontId="3" fillId="3" borderId="7" xfId="0" applyFont="1" applyFill="1" applyBorder="1" applyAlignment="1">
      <alignment horizontal="center"/>
    </xf>
    <xf numFmtId="0" fontId="3" fillId="0" borderId="0" xfId="0" applyFont="1" applyAlignment="1">
      <alignment horizontal="center"/>
    </xf>
    <xf numFmtId="0" fontId="0" fillId="0" borderId="0" xfId="0"/>
    <xf numFmtId="0" fontId="3" fillId="0" borderId="0" xfId="0" applyFont="1" applyAlignment="1">
      <alignment horizontal="left"/>
    </xf>
    <xf numFmtId="0" fontId="1" fillId="5" borderId="3" xfId="0" applyFont="1" applyFill="1" applyBorder="1" applyAlignment="1">
      <alignment horizontal="center"/>
    </xf>
    <xf numFmtId="0" fontId="3" fillId="9" borderId="7" xfId="0" applyFont="1" applyFill="1" applyBorder="1" applyAlignment="1">
      <alignment horizontal="left"/>
    </xf>
    <xf numFmtId="0" fontId="1" fillId="5" borderId="8" xfId="0" applyFont="1" applyFill="1" applyBorder="1" applyAlignment="1">
      <alignment horizontal="left"/>
    </xf>
    <xf numFmtId="0" fontId="4" fillId="0" borderId="9" xfId="0" applyFont="1" applyBorder="1"/>
    <xf numFmtId="0" fontId="4" fillId="0" borderId="10" xfId="0" applyFont="1" applyBorder="1"/>
    <xf numFmtId="0" fontId="1" fillId="6" borderId="11" xfId="0" applyFont="1" applyFill="1" applyBorder="1" applyAlignment="1">
      <alignment horizontal="center"/>
    </xf>
    <xf numFmtId="0" fontId="4" fillId="0" borderId="12" xfId="0" applyFont="1" applyBorder="1"/>
    <xf numFmtId="0" fontId="4" fillId="0" borderId="4" xfId="0" applyFont="1" applyBorder="1" applyAlignment="1">
      <alignment horizontal="left"/>
    </xf>
    <xf numFmtId="0" fontId="4" fillId="0" borderId="5" xfId="0" applyFont="1" applyBorder="1" applyAlignment="1">
      <alignment horizontal="left"/>
    </xf>
    <xf numFmtId="0" fontId="3" fillId="3" borderId="2" xfId="0" applyFont="1" applyFill="1" applyBorder="1" applyAlignment="1">
      <alignment horizontal="left"/>
    </xf>
    <xf numFmtId="2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customschemas.google.com/relationships/workbookmetadata" Target="metadata"/><Relationship Id="rId3" Type="http://schemas.openxmlformats.org/officeDocument/2006/relationships/worksheet" Target="worksheets/sheet3.xml"/><Relationship Id="rId12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11" Type="http://schemas.openxmlformats.org/officeDocument/2006/relationships/sharedStrings" Target="sharedStrings.xml"/><Relationship Id="rId10" Type="http://schemas.openxmlformats.org/officeDocument/2006/relationships/styles" Target="styles.xml"/><Relationship Id="rId9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0563C1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Y1000"/>
  <sheetViews>
    <sheetView topLeftCell="H1" workbookViewId="0">
      <selection activeCell="Q16" sqref="Q16:U16"/>
    </sheetView>
  </sheetViews>
  <sheetFormatPr defaultColWidth="14.44140625" defaultRowHeight="15" customHeight="1" x14ac:dyDescent="0.3"/>
  <cols>
    <col min="1" max="5" width="8.6640625" customWidth="1"/>
    <col min="6" max="6" width="11.5546875" customWidth="1"/>
    <col min="7" max="7" width="12.44140625" customWidth="1"/>
    <col min="8" max="8" width="20.88671875" customWidth="1"/>
    <col min="9" max="9" width="11.109375" customWidth="1"/>
    <col min="10" max="10" width="26" customWidth="1"/>
    <col min="11" max="11" width="26.33203125" customWidth="1"/>
    <col min="12" max="12" width="23.44140625" customWidth="1"/>
    <col min="13" max="14" width="8.6640625" customWidth="1"/>
    <col min="15" max="15" width="11.33203125" customWidth="1"/>
    <col min="16" max="26" width="8.6640625" customWidth="1"/>
  </cols>
  <sheetData>
    <row r="1" spans="1:25" ht="14.25" customHeight="1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</row>
    <row r="2" spans="1:25" ht="14.25" customHeight="1" x14ac:dyDescent="0.3">
      <c r="A2" s="2">
        <v>121</v>
      </c>
      <c r="B2" s="2" t="s">
        <v>7</v>
      </c>
      <c r="C2" s="2" t="s">
        <v>8</v>
      </c>
      <c r="D2" s="2">
        <v>22</v>
      </c>
      <c r="E2" s="2" t="s">
        <v>9</v>
      </c>
      <c r="F2" s="2" t="s">
        <v>10</v>
      </c>
      <c r="G2" s="2">
        <v>55</v>
      </c>
      <c r="J2" s="2" t="s">
        <v>11</v>
      </c>
    </row>
    <row r="3" spans="1:25" ht="14.25" customHeight="1" x14ac:dyDescent="0.3">
      <c r="A3" s="2">
        <v>122</v>
      </c>
      <c r="B3" s="2" t="s">
        <v>12</v>
      </c>
      <c r="C3" s="2" t="s">
        <v>13</v>
      </c>
      <c r="D3" s="2">
        <v>23</v>
      </c>
      <c r="E3" s="2" t="s">
        <v>14</v>
      </c>
      <c r="F3" s="2" t="s">
        <v>15</v>
      </c>
      <c r="G3" s="2">
        <v>63</v>
      </c>
      <c r="I3" s="3" t="s">
        <v>16</v>
      </c>
      <c r="K3" s="3" t="s">
        <v>17</v>
      </c>
      <c r="L3" s="2" t="s">
        <v>18</v>
      </c>
    </row>
    <row r="4" spans="1:25" ht="14.25" customHeight="1" x14ac:dyDescent="0.3">
      <c r="A4" s="2">
        <v>123</v>
      </c>
      <c r="B4" s="2" t="s">
        <v>19</v>
      </c>
      <c r="C4" s="2" t="s">
        <v>20</v>
      </c>
      <c r="D4" s="2">
        <v>24</v>
      </c>
      <c r="E4" s="2" t="s">
        <v>21</v>
      </c>
      <c r="F4" s="2" t="s">
        <v>22</v>
      </c>
      <c r="G4" s="2">
        <v>71</v>
      </c>
      <c r="I4" s="3" t="s">
        <v>23</v>
      </c>
      <c r="J4" s="2" t="s">
        <v>24</v>
      </c>
      <c r="K4" s="2">
        <f>COUNTA(B2:B21)</f>
        <v>20</v>
      </c>
      <c r="L4" s="4" t="s">
        <v>113</v>
      </c>
      <c r="M4" s="24"/>
      <c r="N4" s="25"/>
      <c r="O4" s="25"/>
    </row>
    <row r="5" spans="1:25" ht="14.25" customHeight="1" x14ac:dyDescent="0.3">
      <c r="A5" s="2">
        <v>124</v>
      </c>
      <c r="B5" s="2" t="s">
        <v>25</v>
      </c>
      <c r="C5" s="2" t="s">
        <v>26</v>
      </c>
      <c r="D5" s="2">
        <v>21</v>
      </c>
      <c r="E5" s="2" t="s">
        <v>14</v>
      </c>
      <c r="F5" s="2" t="s">
        <v>27</v>
      </c>
      <c r="G5" s="2">
        <v>68</v>
      </c>
      <c r="I5" s="3" t="s">
        <v>28</v>
      </c>
      <c r="J5" s="2" t="s">
        <v>29</v>
      </c>
      <c r="K5" s="2">
        <f>COUNTIF(C2:C21,"")</f>
        <v>2</v>
      </c>
      <c r="L5" s="4" t="s">
        <v>114</v>
      </c>
    </row>
    <row r="6" spans="1:25" ht="14.25" customHeight="1" x14ac:dyDescent="0.3">
      <c r="A6" s="2">
        <v>125</v>
      </c>
      <c r="B6" s="2" t="s">
        <v>30</v>
      </c>
      <c r="C6" s="2" t="s">
        <v>31</v>
      </c>
      <c r="D6" s="2">
        <v>25</v>
      </c>
      <c r="E6" s="2" t="s">
        <v>32</v>
      </c>
      <c r="F6" s="2" t="s">
        <v>22</v>
      </c>
      <c r="G6" s="2">
        <v>74</v>
      </c>
      <c r="I6" s="3" t="s">
        <v>33</v>
      </c>
      <c r="J6" s="2" t="s">
        <v>34</v>
      </c>
      <c r="K6" s="2">
        <f>COUNTA(C2:C21)</f>
        <v>18</v>
      </c>
      <c r="L6" s="4" t="s">
        <v>115</v>
      </c>
    </row>
    <row r="7" spans="1:25" ht="14.25" customHeight="1" x14ac:dyDescent="0.3">
      <c r="A7" s="2">
        <v>126</v>
      </c>
      <c r="B7" s="2" t="s">
        <v>35</v>
      </c>
      <c r="C7" s="2" t="s">
        <v>36</v>
      </c>
      <c r="D7" s="2">
        <v>24</v>
      </c>
      <c r="E7" s="2" t="s">
        <v>9</v>
      </c>
      <c r="F7" s="2" t="s">
        <v>27</v>
      </c>
      <c r="G7" s="2">
        <v>81</v>
      </c>
      <c r="S7" s="2" t="s">
        <v>37</v>
      </c>
      <c r="T7" s="26" t="s">
        <v>38</v>
      </c>
      <c r="U7" s="25"/>
      <c r="V7" s="25"/>
      <c r="W7" s="25"/>
      <c r="X7" s="25"/>
      <c r="Y7" s="25"/>
    </row>
    <row r="8" spans="1:25" ht="14.25" customHeight="1" x14ac:dyDescent="0.3">
      <c r="A8" s="2">
        <v>127</v>
      </c>
      <c r="B8" s="2" t="s">
        <v>39</v>
      </c>
      <c r="C8" s="2" t="s">
        <v>40</v>
      </c>
      <c r="D8" s="2">
        <v>23</v>
      </c>
      <c r="E8" s="2" t="s">
        <v>14</v>
      </c>
      <c r="F8" s="2" t="s">
        <v>10</v>
      </c>
      <c r="G8" s="2">
        <v>83</v>
      </c>
      <c r="K8" s="2" t="s">
        <v>41</v>
      </c>
      <c r="S8" s="2" t="s">
        <v>42</v>
      </c>
      <c r="T8" s="26" t="s">
        <v>43</v>
      </c>
      <c r="U8" s="25"/>
      <c r="V8" s="25"/>
      <c r="W8" s="25"/>
      <c r="X8" s="25"/>
      <c r="Y8" s="25"/>
    </row>
    <row r="9" spans="1:25" ht="14.25" customHeight="1" x14ac:dyDescent="0.3">
      <c r="A9" s="2">
        <v>128</v>
      </c>
      <c r="B9" s="2" t="s">
        <v>44</v>
      </c>
      <c r="C9" s="2" t="s">
        <v>20</v>
      </c>
      <c r="D9" s="2">
        <v>24</v>
      </c>
      <c r="E9" s="2" t="s">
        <v>32</v>
      </c>
      <c r="F9" s="2" t="s">
        <v>15</v>
      </c>
      <c r="G9" s="2">
        <v>80</v>
      </c>
      <c r="I9" s="6" t="s">
        <v>45</v>
      </c>
      <c r="Q9" s="2" t="s">
        <v>46</v>
      </c>
      <c r="R9" s="2" t="s">
        <v>47</v>
      </c>
      <c r="S9" s="2" t="s">
        <v>48</v>
      </c>
      <c r="T9" s="2" t="s">
        <v>49</v>
      </c>
      <c r="U9" s="2" t="s">
        <v>50</v>
      </c>
    </row>
    <row r="10" spans="1:25" ht="14.25" customHeight="1" x14ac:dyDescent="0.3">
      <c r="A10" s="2">
        <v>129</v>
      </c>
      <c r="B10" s="2" t="s">
        <v>51</v>
      </c>
      <c r="C10" s="2" t="s">
        <v>52</v>
      </c>
      <c r="D10" s="2">
        <v>25</v>
      </c>
      <c r="E10" s="2" t="s">
        <v>21</v>
      </c>
      <c r="F10" s="2" t="s">
        <v>53</v>
      </c>
      <c r="G10" s="2">
        <v>74</v>
      </c>
      <c r="I10" s="27" t="s">
        <v>54</v>
      </c>
      <c r="J10" s="19"/>
      <c r="K10" s="19"/>
      <c r="L10" s="20"/>
      <c r="O10" s="6" t="s">
        <v>55</v>
      </c>
      <c r="P10" s="2" t="s">
        <v>56</v>
      </c>
    </row>
    <row r="11" spans="1:25" ht="14.25" customHeight="1" x14ac:dyDescent="0.3">
      <c r="A11" s="2">
        <v>130</v>
      </c>
      <c r="B11" s="2" t="s">
        <v>57</v>
      </c>
      <c r="D11" s="2">
        <v>27</v>
      </c>
      <c r="E11" s="2" t="s">
        <v>14</v>
      </c>
      <c r="F11" s="2" t="s">
        <v>27</v>
      </c>
      <c r="G11" s="2">
        <v>47</v>
      </c>
      <c r="I11" s="7" t="s">
        <v>4</v>
      </c>
      <c r="J11" s="8" t="s">
        <v>58</v>
      </c>
      <c r="K11" s="8" t="s">
        <v>59</v>
      </c>
      <c r="O11" s="22" t="s">
        <v>60</v>
      </c>
      <c r="P11" s="19"/>
      <c r="Q11" s="19"/>
      <c r="R11" s="19"/>
      <c r="S11" s="19"/>
      <c r="T11" s="19"/>
      <c r="U11" s="20"/>
    </row>
    <row r="12" spans="1:25" ht="14.25" customHeight="1" x14ac:dyDescent="0.3">
      <c r="A12" s="2">
        <v>131</v>
      </c>
      <c r="B12" s="2" t="s">
        <v>61</v>
      </c>
      <c r="C12" s="2" t="s">
        <v>8</v>
      </c>
      <c r="D12" s="2">
        <v>28</v>
      </c>
      <c r="E12" s="2" t="s">
        <v>21</v>
      </c>
      <c r="F12" s="2" t="s">
        <v>53</v>
      </c>
      <c r="G12" s="2">
        <v>91</v>
      </c>
      <c r="I12" s="2" t="s">
        <v>9</v>
      </c>
      <c r="J12" s="2">
        <f>COUNTIF(E2:E21,"Delhi")</f>
        <v>4</v>
      </c>
      <c r="K12" s="9" t="s">
        <v>117</v>
      </c>
      <c r="O12" s="2"/>
      <c r="Q12" s="36">
        <f>COUNTIFS(D2:D21,"&gt;25",F2:F21,"Python")</f>
        <v>1</v>
      </c>
      <c r="R12" s="4"/>
      <c r="S12" s="4"/>
      <c r="T12" s="4"/>
      <c r="U12" s="4"/>
    </row>
    <row r="13" spans="1:25" ht="14.25" customHeight="1" x14ac:dyDescent="0.3">
      <c r="A13" s="2">
        <v>132</v>
      </c>
      <c r="B13" s="2" t="s">
        <v>62</v>
      </c>
      <c r="C13" s="2" t="s">
        <v>63</v>
      </c>
      <c r="D13" s="2">
        <v>26</v>
      </c>
      <c r="E13" s="2" t="s">
        <v>32</v>
      </c>
      <c r="F13" s="2" t="s">
        <v>27</v>
      </c>
      <c r="G13" s="2">
        <v>72</v>
      </c>
      <c r="I13" s="2" t="s">
        <v>14</v>
      </c>
      <c r="J13" s="2">
        <f>COUNTIF(E3:E22,"mumbai")</f>
        <v>5</v>
      </c>
      <c r="K13" s="9" t="s">
        <v>118</v>
      </c>
      <c r="O13" s="22" t="s">
        <v>64</v>
      </c>
      <c r="P13" s="19"/>
      <c r="Q13" s="19"/>
      <c r="R13" s="19"/>
      <c r="S13" s="19"/>
      <c r="T13" s="19"/>
      <c r="U13" s="20"/>
    </row>
    <row r="14" spans="1:25" ht="14.25" customHeight="1" x14ac:dyDescent="0.3">
      <c r="A14" s="2">
        <v>133</v>
      </c>
      <c r="B14" s="2" t="s">
        <v>65</v>
      </c>
      <c r="C14" s="2" t="s">
        <v>66</v>
      </c>
      <c r="D14" s="2">
        <v>23</v>
      </c>
      <c r="E14" s="2" t="s">
        <v>9</v>
      </c>
      <c r="F14" s="2" t="s">
        <v>22</v>
      </c>
      <c r="G14" s="2">
        <v>87</v>
      </c>
      <c r="I14" s="2" t="s">
        <v>21</v>
      </c>
      <c r="J14" s="2">
        <f>COUNTIF(E4:E23,"noida")</f>
        <v>5</v>
      </c>
      <c r="K14" s="9" t="s">
        <v>119</v>
      </c>
      <c r="O14" s="2"/>
      <c r="Q14" s="21"/>
      <c r="R14" s="19"/>
      <c r="S14" s="19"/>
      <c r="T14" s="19"/>
      <c r="U14" s="19"/>
      <c r="V14" s="20"/>
    </row>
    <row r="15" spans="1:25" ht="14.25" customHeight="1" x14ac:dyDescent="0.3">
      <c r="A15" s="2">
        <v>134</v>
      </c>
      <c r="B15" s="2" t="s">
        <v>67</v>
      </c>
      <c r="C15" s="2" t="s">
        <v>68</v>
      </c>
      <c r="D15" s="2">
        <v>22</v>
      </c>
      <c r="E15" s="2" t="s">
        <v>21</v>
      </c>
      <c r="F15" s="2" t="s">
        <v>15</v>
      </c>
      <c r="G15" s="2">
        <v>79</v>
      </c>
      <c r="I15" s="2" t="s">
        <v>69</v>
      </c>
      <c r="J15" s="2">
        <f>COUNTIF(E5:E24,"Pune")</f>
        <v>2</v>
      </c>
      <c r="K15" s="9" t="s">
        <v>120</v>
      </c>
      <c r="O15" s="22" t="s">
        <v>70</v>
      </c>
      <c r="P15" s="19"/>
      <c r="Q15" s="19"/>
      <c r="R15" s="19"/>
      <c r="S15" s="19"/>
      <c r="T15" s="19"/>
      <c r="U15" s="20"/>
    </row>
    <row r="16" spans="1:25" ht="14.25" customHeight="1" x14ac:dyDescent="0.3">
      <c r="A16" s="2">
        <v>135</v>
      </c>
      <c r="B16" s="2" t="s">
        <v>71</v>
      </c>
      <c r="D16" s="2">
        <v>24</v>
      </c>
      <c r="E16" s="2" t="s">
        <v>9</v>
      </c>
      <c r="F16" s="2" t="s">
        <v>27</v>
      </c>
      <c r="G16" s="2">
        <v>81</v>
      </c>
      <c r="I16" s="2" t="s">
        <v>32</v>
      </c>
      <c r="J16" s="2">
        <f>COUNTIF(E6:E25,"Bangalore")</f>
        <v>4</v>
      </c>
      <c r="K16" s="9" t="s">
        <v>116</v>
      </c>
      <c r="O16" s="2"/>
      <c r="Q16" s="21">
        <f>COUNTIFS(G2:G21,"&gt;80",E2:E21,"&lt;&gt;Delhi")</f>
        <v>3</v>
      </c>
      <c r="R16" s="19"/>
      <c r="S16" s="19"/>
      <c r="T16" s="19"/>
      <c r="U16" s="20"/>
      <c r="V16" s="2"/>
      <c r="W16" s="2"/>
    </row>
    <row r="17" spans="1:25" ht="14.25" customHeight="1" x14ac:dyDescent="0.3">
      <c r="A17" s="2">
        <v>136</v>
      </c>
      <c r="B17" s="2" t="s">
        <v>72</v>
      </c>
      <c r="C17" s="2" t="s">
        <v>73</v>
      </c>
      <c r="D17" s="2">
        <v>25</v>
      </c>
      <c r="E17" s="2" t="s">
        <v>14</v>
      </c>
      <c r="F17" s="2" t="s">
        <v>10</v>
      </c>
      <c r="G17" s="2">
        <v>56</v>
      </c>
      <c r="O17" s="10" t="s">
        <v>74</v>
      </c>
      <c r="P17" s="10"/>
      <c r="Q17" s="10"/>
      <c r="R17" s="10"/>
      <c r="S17" s="10"/>
      <c r="T17" s="10"/>
      <c r="U17" s="10"/>
    </row>
    <row r="18" spans="1:25" ht="14.25" customHeight="1" x14ac:dyDescent="0.3">
      <c r="A18" s="2">
        <v>137</v>
      </c>
      <c r="B18" s="2" t="s">
        <v>75</v>
      </c>
      <c r="C18" s="2" t="s">
        <v>63</v>
      </c>
      <c r="D18" s="2">
        <v>21</v>
      </c>
      <c r="E18" s="2" t="s">
        <v>32</v>
      </c>
      <c r="F18" s="2" t="s">
        <v>27</v>
      </c>
      <c r="G18" s="2">
        <v>49</v>
      </c>
      <c r="I18" s="18" t="s">
        <v>76</v>
      </c>
      <c r="J18" s="19"/>
      <c r="K18" s="20"/>
      <c r="L18" s="11"/>
      <c r="O18" s="2"/>
      <c r="Q18" s="21">
        <f>COUNTIFS(G2:G21,"&gt;70",G2:G21,"&lt;80")</f>
        <v>7</v>
      </c>
      <c r="R18" s="19"/>
      <c r="S18" s="19"/>
      <c r="T18" s="19"/>
      <c r="U18" s="20"/>
      <c r="W18" s="3"/>
    </row>
    <row r="19" spans="1:25" ht="14.25" customHeight="1" x14ac:dyDescent="0.3">
      <c r="A19" s="2">
        <v>138</v>
      </c>
      <c r="B19" s="2" t="s">
        <v>77</v>
      </c>
      <c r="C19" s="2" t="s">
        <v>8</v>
      </c>
      <c r="D19" s="2">
        <v>26</v>
      </c>
      <c r="E19" s="2" t="s">
        <v>69</v>
      </c>
      <c r="F19" s="2" t="s">
        <v>10</v>
      </c>
      <c r="G19" s="2">
        <v>73</v>
      </c>
      <c r="I19" s="3" t="s">
        <v>78</v>
      </c>
      <c r="J19" s="3" t="s">
        <v>23</v>
      </c>
      <c r="K19" s="3" t="s">
        <v>79</v>
      </c>
      <c r="O19" s="22" t="s">
        <v>80</v>
      </c>
      <c r="P19" s="19"/>
      <c r="Q19" s="19"/>
      <c r="R19" s="19"/>
      <c r="S19" s="19"/>
      <c r="T19" s="19"/>
      <c r="U19" s="19"/>
      <c r="V19" s="20"/>
      <c r="W19" s="2"/>
      <c r="X19" s="2"/>
    </row>
    <row r="20" spans="1:25" ht="14.25" customHeight="1" x14ac:dyDescent="0.3">
      <c r="A20" s="2">
        <v>139</v>
      </c>
      <c r="B20" s="2" t="s">
        <v>81</v>
      </c>
      <c r="C20" s="2" t="s">
        <v>13</v>
      </c>
      <c r="D20" s="2">
        <v>24</v>
      </c>
      <c r="E20" s="2" t="s">
        <v>69</v>
      </c>
      <c r="F20" s="2" t="s">
        <v>22</v>
      </c>
      <c r="G20" s="2">
        <v>76</v>
      </c>
      <c r="I20" s="2" t="s">
        <v>22</v>
      </c>
      <c r="J20" s="2">
        <f>COUNTIF(F2:F21,"SQL")</f>
        <v>4</v>
      </c>
      <c r="K20" s="2" t="s">
        <v>121</v>
      </c>
      <c r="O20" s="2"/>
      <c r="Q20" s="21">
        <f>COUNTIFS(B2:B21,"A*",G2:G21,"&lt;70")</f>
        <v>4</v>
      </c>
      <c r="R20" s="19"/>
      <c r="S20" s="19"/>
      <c r="T20" s="19"/>
      <c r="U20" s="19"/>
      <c r="V20" s="20"/>
      <c r="W20" s="2"/>
      <c r="X20" s="2"/>
    </row>
    <row r="21" spans="1:25" ht="14.25" customHeight="1" x14ac:dyDescent="0.3">
      <c r="A21" s="2">
        <v>140</v>
      </c>
      <c r="B21" s="2" t="s">
        <v>82</v>
      </c>
      <c r="C21" s="2" t="s">
        <v>8</v>
      </c>
      <c r="D21" s="2">
        <v>23</v>
      </c>
      <c r="E21" s="2" t="s">
        <v>21</v>
      </c>
      <c r="F21" s="2" t="s">
        <v>10</v>
      </c>
      <c r="G21" s="2">
        <v>82</v>
      </c>
      <c r="I21" s="2" t="s">
        <v>15</v>
      </c>
      <c r="J21" s="2">
        <f>COUNTIF(F3:F22,"Tableau")</f>
        <v>3</v>
      </c>
      <c r="K21" s="2" t="s">
        <v>122</v>
      </c>
      <c r="O21" s="22" t="s">
        <v>83</v>
      </c>
      <c r="P21" s="19"/>
      <c r="Q21" s="19"/>
      <c r="R21" s="19"/>
      <c r="S21" s="19"/>
      <c r="T21" s="19"/>
      <c r="U21" s="20"/>
    </row>
    <row r="22" spans="1:25" ht="14.25" customHeight="1" x14ac:dyDescent="0.3">
      <c r="I22" s="2" t="s">
        <v>53</v>
      </c>
      <c r="J22" s="2">
        <f>COUNTIF(F4:F23,"Power BI")</f>
        <v>2</v>
      </c>
      <c r="K22" s="2" t="s">
        <v>123</v>
      </c>
      <c r="O22" s="2"/>
      <c r="Q22" s="21">
        <f>COUNTIFS(B2:B21,"a*",B2:B21,"*a")</f>
        <v>1</v>
      </c>
      <c r="R22" s="34"/>
      <c r="S22" s="34"/>
      <c r="T22" s="35"/>
    </row>
    <row r="23" spans="1:25" ht="14.25" customHeight="1" x14ac:dyDescent="0.3">
      <c r="I23" s="2" t="s">
        <v>27</v>
      </c>
      <c r="J23" s="2">
        <f>COUNTIF(F5:F24,"ML")</f>
        <v>6</v>
      </c>
      <c r="K23" s="2" t="s">
        <v>124</v>
      </c>
    </row>
    <row r="24" spans="1:25" ht="14.25" customHeight="1" x14ac:dyDescent="0.3">
      <c r="F24" s="2" t="s">
        <v>84</v>
      </c>
      <c r="G24" s="2">
        <f>SUM(G2:G21)</f>
        <v>1442</v>
      </c>
      <c r="H24" s="2"/>
      <c r="I24" s="2" t="s">
        <v>10</v>
      </c>
      <c r="J24" s="2">
        <f>COUNTIF(F6:F25,"Python")</f>
        <v>4</v>
      </c>
      <c r="K24" s="2" t="s">
        <v>125</v>
      </c>
    </row>
    <row r="25" spans="1:25" ht="14.25" customHeight="1" x14ac:dyDescent="0.3">
      <c r="F25" s="2" t="s">
        <v>85</v>
      </c>
      <c r="G25" s="2">
        <f>MIN(G2:G21)</f>
        <v>47</v>
      </c>
      <c r="H25" s="2"/>
      <c r="O25" s="22" t="s">
        <v>86</v>
      </c>
      <c r="P25" s="19"/>
      <c r="Q25" s="19"/>
      <c r="R25" s="19"/>
      <c r="S25" s="19"/>
      <c r="T25" s="19"/>
      <c r="U25" s="20"/>
      <c r="V25" s="5"/>
    </row>
    <row r="26" spans="1:25" ht="14.25" customHeight="1" x14ac:dyDescent="0.3">
      <c r="F26" s="2" t="s">
        <v>87</v>
      </c>
      <c r="G26" s="2">
        <f>MAX(G2:G21)</f>
        <v>91</v>
      </c>
      <c r="H26" s="2"/>
      <c r="O26" s="2"/>
      <c r="Q26" s="23">
        <f>COUNTIF(B2:B21,"?????")</f>
        <v>6</v>
      </c>
      <c r="R26" s="19"/>
      <c r="S26" s="20"/>
    </row>
    <row r="27" spans="1:25" ht="14.25" customHeight="1" x14ac:dyDescent="0.3">
      <c r="F27" s="2" t="s">
        <v>88</v>
      </c>
      <c r="G27" s="2">
        <f>COUNT(G2:G21)</f>
        <v>20</v>
      </c>
      <c r="H27" s="2"/>
      <c r="I27" s="3" t="s">
        <v>89</v>
      </c>
      <c r="W27" s="2" t="s">
        <v>90</v>
      </c>
      <c r="X27" s="2" t="s">
        <v>45</v>
      </c>
      <c r="Y27" s="2" t="s">
        <v>55</v>
      </c>
    </row>
    <row r="28" spans="1:25" ht="14.25" customHeight="1" x14ac:dyDescent="0.3">
      <c r="F28" s="2" t="s">
        <v>91</v>
      </c>
      <c r="G28" s="2">
        <f>AVERAGE(G2:G21)</f>
        <v>72.099999999999994</v>
      </c>
      <c r="H28" s="2"/>
      <c r="J28" s="4"/>
      <c r="W28" s="2" t="s">
        <v>92</v>
      </c>
      <c r="X28" s="2" t="s">
        <v>93</v>
      </c>
      <c r="Y28" s="2" t="s">
        <v>94</v>
      </c>
    </row>
    <row r="29" spans="1:25" ht="14.25" customHeight="1" x14ac:dyDescent="0.3">
      <c r="J29" s="4"/>
      <c r="W29" s="2" t="s">
        <v>95</v>
      </c>
      <c r="X29" s="2" t="s">
        <v>96</v>
      </c>
      <c r="Y29" s="2" t="s">
        <v>97</v>
      </c>
    </row>
    <row r="30" spans="1:25" ht="14.25" customHeight="1" x14ac:dyDescent="0.3">
      <c r="W30" s="2" t="s">
        <v>98</v>
      </c>
      <c r="X30" s="2" t="s">
        <v>99</v>
      </c>
      <c r="Y30" s="2" t="s">
        <v>100</v>
      </c>
    </row>
    <row r="31" spans="1:25" ht="14.25" customHeight="1" x14ac:dyDescent="0.3">
      <c r="G31" s="2"/>
    </row>
    <row r="32" spans="1:25" ht="14.25" customHeight="1" x14ac:dyDescent="0.3">
      <c r="G32" s="2"/>
    </row>
    <row r="33" ht="14.25" customHeight="1" x14ac:dyDescent="0.3"/>
    <row r="34" ht="14.25" customHeight="1" x14ac:dyDescent="0.3"/>
    <row r="35" ht="14.25" customHeight="1" x14ac:dyDescent="0.3"/>
    <row r="36" ht="14.25" customHeight="1" x14ac:dyDescent="0.3"/>
    <row r="37" ht="14.25" customHeight="1" x14ac:dyDescent="0.3"/>
    <row r="38" ht="14.25" customHeight="1" x14ac:dyDescent="0.3"/>
    <row r="39" ht="14.25" customHeight="1" x14ac:dyDescent="0.3"/>
    <row r="40" ht="14.25" customHeight="1" x14ac:dyDescent="0.3"/>
    <row r="41" ht="14.25" customHeight="1" x14ac:dyDescent="0.3"/>
    <row r="42" ht="14.25" customHeight="1" x14ac:dyDescent="0.3"/>
    <row r="43" ht="14.25" customHeight="1" x14ac:dyDescent="0.3"/>
    <row r="44" ht="14.25" customHeight="1" x14ac:dyDescent="0.3"/>
    <row r="45" ht="14.25" customHeight="1" x14ac:dyDescent="0.3"/>
    <row r="46" ht="14.25" customHeight="1" x14ac:dyDescent="0.3"/>
    <row r="47" ht="14.25" customHeight="1" x14ac:dyDescent="0.3"/>
    <row r="48" ht="14.25" customHeight="1" x14ac:dyDescent="0.3"/>
    <row r="49" ht="14.25" customHeight="1" x14ac:dyDescent="0.3"/>
    <row r="50" ht="14.25" customHeight="1" x14ac:dyDescent="0.3"/>
    <row r="51" ht="14.25" customHeight="1" x14ac:dyDescent="0.3"/>
    <row r="52" ht="14.25" customHeight="1" x14ac:dyDescent="0.3"/>
    <row r="53" ht="14.25" customHeight="1" x14ac:dyDescent="0.3"/>
    <row r="54" ht="14.25" customHeight="1" x14ac:dyDescent="0.3"/>
    <row r="55" ht="14.25" customHeight="1" x14ac:dyDescent="0.3"/>
    <row r="56" ht="14.25" customHeight="1" x14ac:dyDescent="0.3"/>
    <row r="57" ht="14.25" customHeight="1" x14ac:dyDescent="0.3"/>
    <row r="58" ht="14.25" customHeight="1" x14ac:dyDescent="0.3"/>
    <row r="59" ht="14.25" customHeight="1" x14ac:dyDescent="0.3"/>
    <row r="60" ht="14.25" customHeight="1" x14ac:dyDescent="0.3"/>
    <row r="61" ht="14.25" customHeight="1" x14ac:dyDescent="0.3"/>
    <row r="62" ht="14.25" customHeight="1" x14ac:dyDescent="0.3"/>
    <row r="63" ht="14.25" customHeight="1" x14ac:dyDescent="0.3"/>
    <row r="64" ht="14.25" customHeight="1" x14ac:dyDescent="0.3"/>
    <row r="65" ht="14.25" customHeight="1" x14ac:dyDescent="0.3"/>
    <row r="66" ht="14.25" customHeight="1" x14ac:dyDescent="0.3"/>
    <row r="67" ht="14.25" customHeight="1" x14ac:dyDescent="0.3"/>
    <row r="68" ht="14.25" customHeight="1" x14ac:dyDescent="0.3"/>
    <row r="69" ht="14.25" customHeight="1" x14ac:dyDescent="0.3"/>
    <row r="70" ht="14.25" customHeight="1" x14ac:dyDescent="0.3"/>
    <row r="71" ht="14.25" customHeight="1" x14ac:dyDescent="0.3"/>
    <row r="72" ht="14.25" customHeight="1" x14ac:dyDescent="0.3"/>
    <row r="73" ht="14.25" customHeight="1" x14ac:dyDescent="0.3"/>
    <row r="74" ht="14.25" customHeight="1" x14ac:dyDescent="0.3"/>
    <row r="75" ht="14.25" customHeight="1" x14ac:dyDescent="0.3"/>
    <row r="76" ht="14.25" customHeight="1" x14ac:dyDescent="0.3"/>
    <row r="77" ht="14.25" customHeight="1" x14ac:dyDescent="0.3"/>
    <row r="78" ht="14.25" customHeight="1" x14ac:dyDescent="0.3"/>
    <row r="79" ht="14.25" customHeight="1" x14ac:dyDescent="0.3"/>
    <row r="80" ht="14.25" customHeight="1" x14ac:dyDescent="0.3"/>
    <row r="81" ht="14.25" customHeight="1" x14ac:dyDescent="0.3"/>
    <row r="82" ht="14.25" customHeight="1" x14ac:dyDescent="0.3"/>
    <row r="83" ht="14.25" customHeight="1" x14ac:dyDescent="0.3"/>
    <row r="84" ht="14.25" customHeight="1" x14ac:dyDescent="0.3"/>
    <row r="85" ht="14.25" customHeight="1" x14ac:dyDescent="0.3"/>
    <row r="86" ht="14.25" customHeight="1" x14ac:dyDescent="0.3"/>
    <row r="87" ht="14.25" customHeight="1" x14ac:dyDescent="0.3"/>
    <row r="88" ht="14.25" customHeight="1" x14ac:dyDescent="0.3"/>
    <row r="89" ht="14.25" customHeight="1" x14ac:dyDescent="0.3"/>
    <row r="90" ht="14.25" customHeight="1" x14ac:dyDescent="0.3"/>
    <row r="91" ht="14.25" customHeight="1" x14ac:dyDescent="0.3"/>
    <row r="92" ht="14.25" customHeight="1" x14ac:dyDescent="0.3"/>
    <row r="93" ht="14.25" customHeight="1" x14ac:dyDescent="0.3"/>
    <row r="94" ht="14.25" customHeight="1" x14ac:dyDescent="0.3"/>
    <row r="95" ht="14.25" customHeight="1" x14ac:dyDescent="0.3"/>
    <row r="96" ht="14.25" customHeight="1" x14ac:dyDescent="0.3"/>
    <row r="97" ht="14.25" customHeight="1" x14ac:dyDescent="0.3"/>
    <row r="98" ht="14.25" customHeight="1" x14ac:dyDescent="0.3"/>
    <row r="99" ht="14.25" customHeight="1" x14ac:dyDescent="0.3"/>
    <row r="100" ht="14.25" customHeight="1" x14ac:dyDescent="0.3"/>
    <row r="101" ht="14.25" customHeight="1" x14ac:dyDescent="0.3"/>
    <row r="102" ht="14.25" customHeight="1" x14ac:dyDescent="0.3"/>
    <row r="103" ht="14.25" customHeight="1" x14ac:dyDescent="0.3"/>
    <row r="104" ht="14.25" customHeight="1" x14ac:dyDescent="0.3"/>
    <row r="105" ht="14.25" customHeight="1" x14ac:dyDescent="0.3"/>
    <row r="106" ht="14.25" customHeight="1" x14ac:dyDescent="0.3"/>
    <row r="107" ht="14.25" customHeight="1" x14ac:dyDescent="0.3"/>
    <row r="108" ht="14.25" customHeight="1" x14ac:dyDescent="0.3"/>
    <row r="109" ht="14.25" customHeight="1" x14ac:dyDescent="0.3"/>
    <row r="110" ht="14.25" customHeight="1" x14ac:dyDescent="0.3"/>
    <row r="111" ht="14.25" customHeight="1" x14ac:dyDescent="0.3"/>
    <row r="112" ht="14.25" customHeight="1" x14ac:dyDescent="0.3"/>
    <row r="113" ht="14.25" customHeight="1" x14ac:dyDescent="0.3"/>
    <row r="114" ht="14.25" customHeight="1" x14ac:dyDescent="0.3"/>
    <row r="115" ht="14.25" customHeight="1" x14ac:dyDescent="0.3"/>
    <row r="116" ht="14.25" customHeight="1" x14ac:dyDescent="0.3"/>
    <row r="117" ht="14.25" customHeight="1" x14ac:dyDescent="0.3"/>
    <row r="118" ht="14.25" customHeight="1" x14ac:dyDescent="0.3"/>
    <row r="119" ht="14.25" customHeight="1" x14ac:dyDescent="0.3"/>
    <row r="120" ht="14.25" customHeight="1" x14ac:dyDescent="0.3"/>
    <row r="121" ht="14.25" customHeight="1" x14ac:dyDescent="0.3"/>
    <row r="122" ht="14.25" customHeight="1" x14ac:dyDescent="0.3"/>
    <row r="123" ht="14.25" customHeight="1" x14ac:dyDescent="0.3"/>
    <row r="124" ht="14.25" customHeight="1" x14ac:dyDescent="0.3"/>
    <row r="125" ht="14.25" customHeight="1" x14ac:dyDescent="0.3"/>
    <row r="126" ht="14.25" customHeight="1" x14ac:dyDescent="0.3"/>
    <row r="127" ht="14.25" customHeight="1" x14ac:dyDescent="0.3"/>
    <row r="128" ht="14.25" customHeight="1" x14ac:dyDescent="0.3"/>
    <row r="129" ht="14.25" customHeight="1" x14ac:dyDescent="0.3"/>
    <row r="130" ht="14.25" customHeight="1" x14ac:dyDescent="0.3"/>
    <row r="131" ht="14.25" customHeight="1" x14ac:dyDescent="0.3"/>
    <row r="132" ht="14.25" customHeight="1" x14ac:dyDescent="0.3"/>
    <row r="133" ht="14.25" customHeight="1" x14ac:dyDescent="0.3"/>
    <row r="134" ht="14.25" customHeight="1" x14ac:dyDescent="0.3"/>
    <row r="135" ht="14.25" customHeight="1" x14ac:dyDescent="0.3"/>
    <row r="136" ht="14.25" customHeight="1" x14ac:dyDescent="0.3"/>
    <row r="137" ht="14.25" customHeight="1" x14ac:dyDescent="0.3"/>
    <row r="138" ht="14.25" customHeight="1" x14ac:dyDescent="0.3"/>
    <row r="139" ht="14.25" customHeight="1" x14ac:dyDescent="0.3"/>
    <row r="140" ht="14.25" customHeight="1" x14ac:dyDescent="0.3"/>
    <row r="141" ht="14.25" customHeight="1" x14ac:dyDescent="0.3"/>
    <row r="142" ht="14.25" customHeight="1" x14ac:dyDescent="0.3"/>
    <row r="143" ht="14.25" customHeight="1" x14ac:dyDescent="0.3"/>
    <row r="144" ht="14.25" customHeight="1" x14ac:dyDescent="0.3"/>
    <row r="145" ht="14.25" customHeight="1" x14ac:dyDescent="0.3"/>
    <row r="146" ht="14.25" customHeight="1" x14ac:dyDescent="0.3"/>
    <row r="147" ht="14.25" customHeight="1" x14ac:dyDescent="0.3"/>
    <row r="148" ht="14.25" customHeight="1" x14ac:dyDescent="0.3"/>
    <row r="149" ht="14.25" customHeight="1" x14ac:dyDescent="0.3"/>
    <row r="150" ht="14.25" customHeight="1" x14ac:dyDescent="0.3"/>
    <row r="151" ht="14.25" customHeight="1" x14ac:dyDescent="0.3"/>
    <row r="152" ht="14.25" customHeight="1" x14ac:dyDescent="0.3"/>
    <row r="153" ht="14.25" customHeight="1" x14ac:dyDescent="0.3"/>
    <row r="154" ht="14.25" customHeight="1" x14ac:dyDescent="0.3"/>
    <row r="155" ht="14.25" customHeight="1" x14ac:dyDescent="0.3"/>
    <row r="156" ht="14.25" customHeight="1" x14ac:dyDescent="0.3"/>
    <row r="157" ht="14.25" customHeight="1" x14ac:dyDescent="0.3"/>
    <row r="158" ht="14.25" customHeight="1" x14ac:dyDescent="0.3"/>
    <row r="159" ht="14.25" customHeight="1" x14ac:dyDescent="0.3"/>
    <row r="160" ht="14.25" customHeight="1" x14ac:dyDescent="0.3"/>
    <row r="161" ht="14.25" customHeight="1" x14ac:dyDescent="0.3"/>
    <row r="162" ht="14.25" customHeight="1" x14ac:dyDescent="0.3"/>
    <row r="163" ht="14.25" customHeight="1" x14ac:dyDescent="0.3"/>
    <row r="164" ht="14.25" customHeight="1" x14ac:dyDescent="0.3"/>
    <row r="165" ht="14.25" customHeight="1" x14ac:dyDescent="0.3"/>
    <row r="166" ht="14.25" customHeight="1" x14ac:dyDescent="0.3"/>
    <row r="167" ht="14.25" customHeight="1" x14ac:dyDescent="0.3"/>
    <row r="168" ht="14.25" customHeight="1" x14ac:dyDescent="0.3"/>
    <row r="169" ht="14.25" customHeight="1" x14ac:dyDescent="0.3"/>
    <row r="170" ht="14.25" customHeight="1" x14ac:dyDescent="0.3"/>
    <row r="171" ht="14.25" customHeight="1" x14ac:dyDescent="0.3"/>
    <row r="172" ht="14.25" customHeight="1" x14ac:dyDescent="0.3"/>
    <row r="173" ht="14.25" customHeight="1" x14ac:dyDescent="0.3"/>
    <row r="174" ht="14.25" customHeight="1" x14ac:dyDescent="0.3"/>
    <row r="175" ht="14.25" customHeight="1" x14ac:dyDescent="0.3"/>
    <row r="176" ht="14.25" customHeight="1" x14ac:dyDescent="0.3"/>
    <row r="177" ht="14.25" customHeight="1" x14ac:dyDescent="0.3"/>
    <row r="178" ht="14.25" customHeight="1" x14ac:dyDescent="0.3"/>
    <row r="179" ht="14.25" customHeight="1" x14ac:dyDescent="0.3"/>
    <row r="180" ht="14.25" customHeight="1" x14ac:dyDescent="0.3"/>
    <row r="181" ht="14.25" customHeight="1" x14ac:dyDescent="0.3"/>
    <row r="182" ht="14.25" customHeight="1" x14ac:dyDescent="0.3"/>
    <row r="183" ht="14.25" customHeight="1" x14ac:dyDescent="0.3"/>
    <row r="184" ht="14.25" customHeight="1" x14ac:dyDescent="0.3"/>
    <row r="185" ht="14.25" customHeight="1" x14ac:dyDescent="0.3"/>
    <row r="186" ht="14.25" customHeight="1" x14ac:dyDescent="0.3"/>
    <row r="187" ht="14.25" customHeight="1" x14ac:dyDescent="0.3"/>
    <row r="188" ht="14.25" customHeight="1" x14ac:dyDescent="0.3"/>
    <row r="189" ht="14.25" customHeight="1" x14ac:dyDescent="0.3"/>
    <row r="190" ht="14.25" customHeight="1" x14ac:dyDescent="0.3"/>
    <row r="191" ht="14.25" customHeight="1" x14ac:dyDescent="0.3"/>
    <row r="192" ht="14.25" customHeight="1" x14ac:dyDescent="0.3"/>
    <row r="193" ht="14.25" customHeight="1" x14ac:dyDescent="0.3"/>
    <row r="194" ht="14.25" customHeight="1" x14ac:dyDescent="0.3"/>
    <row r="195" ht="14.25" customHeight="1" x14ac:dyDescent="0.3"/>
    <row r="196" ht="14.25" customHeight="1" x14ac:dyDescent="0.3"/>
    <row r="197" ht="14.25" customHeight="1" x14ac:dyDescent="0.3"/>
    <row r="198" ht="14.25" customHeight="1" x14ac:dyDescent="0.3"/>
    <row r="199" ht="14.25" customHeight="1" x14ac:dyDescent="0.3"/>
    <row r="200" ht="14.25" customHeight="1" x14ac:dyDescent="0.3"/>
    <row r="201" ht="14.25" customHeight="1" x14ac:dyDescent="0.3"/>
    <row r="202" ht="14.25" customHeight="1" x14ac:dyDescent="0.3"/>
    <row r="203" ht="14.25" customHeight="1" x14ac:dyDescent="0.3"/>
    <row r="204" ht="14.25" customHeight="1" x14ac:dyDescent="0.3"/>
    <row r="205" ht="14.25" customHeight="1" x14ac:dyDescent="0.3"/>
    <row r="206" ht="14.25" customHeight="1" x14ac:dyDescent="0.3"/>
    <row r="207" ht="14.25" customHeight="1" x14ac:dyDescent="0.3"/>
    <row r="208" ht="14.25" customHeight="1" x14ac:dyDescent="0.3"/>
    <row r="209" ht="14.25" customHeight="1" x14ac:dyDescent="0.3"/>
    <row r="210" ht="14.25" customHeight="1" x14ac:dyDescent="0.3"/>
    <row r="211" ht="14.25" customHeight="1" x14ac:dyDescent="0.3"/>
    <row r="212" ht="14.25" customHeight="1" x14ac:dyDescent="0.3"/>
    <row r="213" ht="14.25" customHeight="1" x14ac:dyDescent="0.3"/>
    <row r="214" ht="14.25" customHeight="1" x14ac:dyDescent="0.3"/>
    <row r="215" ht="14.25" customHeight="1" x14ac:dyDescent="0.3"/>
    <row r="216" ht="14.25" customHeight="1" x14ac:dyDescent="0.3"/>
    <row r="217" ht="14.25" customHeight="1" x14ac:dyDescent="0.3"/>
    <row r="218" ht="14.25" customHeight="1" x14ac:dyDescent="0.3"/>
    <row r="219" ht="14.25" customHeight="1" x14ac:dyDescent="0.3"/>
    <row r="220" ht="14.25" customHeight="1" x14ac:dyDescent="0.3"/>
    <row r="221" ht="14.25" customHeight="1" x14ac:dyDescent="0.3"/>
    <row r="222" ht="14.25" customHeight="1" x14ac:dyDescent="0.3"/>
    <row r="223" ht="14.25" customHeight="1" x14ac:dyDescent="0.3"/>
    <row r="224" ht="14.25" customHeight="1" x14ac:dyDescent="0.3"/>
    <row r="225" ht="14.25" customHeight="1" x14ac:dyDescent="0.3"/>
    <row r="226" ht="14.25" customHeight="1" x14ac:dyDescent="0.3"/>
    <row r="227" ht="14.25" customHeight="1" x14ac:dyDescent="0.3"/>
    <row r="228" ht="14.25" customHeight="1" x14ac:dyDescent="0.3"/>
    <row r="229" ht="14.25" customHeight="1" x14ac:dyDescent="0.3"/>
    <row r="230" ht="14.25" customHeight="1" x14ac:dyDescent="0.3"/>
    <row r="231" ht="14.25" customHeight="1" x14ac:dyDescent="0.3"/>
    <row r="232" ht="14.25" customHeight="1" x14ac:dyDescent="0.3"/>
    <row r="233" ht="14.25" customHeight="1" x14ac:dyDescent="0.3"/>
    <row r="234" ht="14.25" customHeight="1" x14ac:dyDescent="0.3"/>
    <row r="235" ht="14.25" customHeight="1" x14ac:dyDescent="0.3"/>
    <row r="236" ht="14.25" customHeight="1" x14ac:dyDescent="0.3"/>
    <row r="237" ht="14.25" customHeight="1" x14ac:dyDescent="0.3"/>
    <row r="238" ht="14.25" customHeight="1" x14ac:dyDescent="0.3"/>
    <row r="239" ht="14.25" customHeight="1" x14ac:dyDescent="0.3"/>
    <row r="240" ht="14.25" customHeight="1" x14ac:dyDescent="0.3"/>
    <row r="241" ht="14.25" customHeight="1" x14ac:dyDescent="0.3"/>
    <row r="242" ht="14.25" customHeight="1" x14ac:dyDescent="0.3"/>
    <row r="243" ht="14.25" customHeight="1" x14ac:dyDescent="0.3"/>
    <row r="244" ht="14.25" customHeight="1" x14ac:dyDescent="0.3"/>
    <row r="245" ht="14.25" customHeight="1" x14ac:dyDescent="0.3"/>
    <row r="246" ht="14.25" customHeight="1" x14ac:dyDescent="0.3"/>
    <row r="247" ht="14.25" customHeight="1" x14ac:dyDescent="0.3"/>
    <row r="248" ht="14.25" customHeight="1" x14ac:dyDescent="0.3"/>
    <row r="249" ht="14.25" customHeight="1" x14ac:dyDescent="0.3"/>
    <row r="250" ht="14.25" customHeight="1" x14ac:dyDescent="0.3"/>
    <row r="251" ht="14.25" customHeight="1" x14ac:dyDescent="0.3"/>
    <row r="252" ht="14.25" customHeight="1" x14ac:dyDescent="0.3"/>
    <row r="253" ht="14.25" customHeight="1" x14ac:dyDescent="0.3"/>
    <row r="254" ht="14.25" customHeight="1" x14ac:dyDescent="0.3"/>
    <row r="255" ht="14.25" customHeight="1" x14ac:dyDescent="0.3"/>
    <row r="256" ht="14.25" customHeight="1" x14ac:dyDescent="0.3"/>
    <row r="257" ht="14.25" customHeight="1" x14ac:dyDescent="0.3"/>
    <row r="258" ht="14.25" customHeight="1" x14ac:dyDescent="0.3"/>
    <row r="259" ht="14.25" customHeight="1" x14ac:dyDescent="0.3"/>
    <row r="260" ht="14.25" customHeight="1" x14ac:dyDescent="0.3"/>
    <row r="261" ht="14.25" customHeight="1" x14ac:dyDescent="0.3"/>
    <row r="262" ht="14.25" customHeight="1" x14ac:dyDescent="0.3"/>
    <row r="263" ht="14.25" customHeight="1" x14ac:dyDescent="0.3"/>
    <row r="264" ht="14.25" customHeight="1" x14ac:dyDescent="0.3"/>
    <row r="265" ht="14.25" customHeight="1" x14ac:dyDescent="0.3"/>
    <row r="266" ht="14.25" customHeight="1" x14ac:dyDescent="0.3"/>
    <row r="267" ht="14.25" customHeight="1" x14ac:dyDescent="0.3"/>
    <row r="268" ht="14.25" customHeight="1" x14ac:dyDescent="0.3"/>
    <row r="269" ht="14.25" customHeight="1" x14ac:dyDescent="0.3"/>
    <row r="270" ht="14.25" customHeight="1" x14ac:dyDescent="0.3"/>
    <row r="271" ht="14.25" customHeight="1" x14ac:dyDescent="0.3"/>
    <row r="272" ht="14.25" customHeight="1" x14ac:dyDescent="0.3"/>
    <row r="273" ht="14.25" customHeight="1" x14ac:dyDescent="0.3"/>
    <row r="274" ht="14.25" customHeight="1" x14ac:dyDescent="0.3"/>
    <row r="275" ht="14.25" customHeight="1" x14ac:dyDescent="0.3"/>
    <row r="276" ht="14.25" customHeight="1" x14ac:dyDescent="0.3"/>
    <row r="277" ht="14.25" customHeight="1" x14ac:dyDescent="0.3"/>
    <row r="278" ht="14.25" customHeight="1" x14ac:dyDescent="0.3"/>
    <row r="279" ht="14.25" customHeight="1" x14ac:dyDescent="0.3"/>
    <row r="280" ht="14.25" customHeight="1" x14ac:dyDescent="0.3"/>
    <row r="281" ht="14.25" customHeight="1" x14ac:dyDescent="0.3"/>
    <row r="282" ht="14.25" customHeight="1" x14ac:dyDescent="0.3"/>
    <row r="283" ht="14.25" customHeight="1" x14ac:dyDescent="0.3"/>
    <row r="284" ht="14.25" customHeight="1" x14ac:dyDescent="0.3"/>
    <row r="285" ht="14.25" customHeight="1" x14ac:dyDescent="0.3"/>
    <row r="286" ht="14.25" customHeight="1" x14ac:dyDescent="0.3"/>
    <row r="287" ht="14.25" customHeight="1" x14ac:dyDescent="0.3"/>
    <row r="288" ht="14.25" customHeight="1" x14ac:dyDescent="0.3"/>
    <row r="289" ht="14.25" customHeight="1" x14ac:dyDescent="0.3"/>
    <row r="290" ht="14.25" customHeight="1" x14ac:dyDescent="0.3"/>
    <row r="291" ht="14.25" customHeight="1" x14ac:dyDescent="0.3"/>
    <row r="292" ht="14.25" customHeight="1" x14ac:dyDescent="0.3"/>
    <row r="293" ht="14.25" customHeight="1" x14ac:dyDescent="0.3"/>
    <row r="294" ht="14.25" customHeight="1" x14ac:dyDescent="0.3"/>
    <row r="295" ht="14.25" customHeight="1" x14ac:dyDescent="0.3"/>
    <row r="296" ht="14.25" customHeight="1" x14ac:dyDescent="0.3"/>
    <row r="297" ht="14.25" customHeight="1" x14ac:dyDescent="0.3"/>
    <row r="298" ht="14.25" customHeight="1" x14ac:dyDescent="0.3"/>
    <row r="299" ht="14.25" customHeight="1" x14ac:dyDescent="0.3"/>
    <row r="300" ht="14.25" customHeight="1" x14ac:dyDescent="0.3"/>
    <row r="301" ht="14.25" customHeight="1" x14ac:dyDescent="0.3"/>
    <row r="302" ht="14.25" customHeight="1" x14ac:dyDescent="0.3"/>
    <row r="303" ht="14.25" customHeight="1" x14ac:dyDescent="0.3"/>
    <row r="304" ht="14.25" customHeight="1" x14ac:dyDescent="0.3"/>
    <row r="305" ht="14.25" customHeight="1" x14ac:dyDescent="0.3"/>
    <row r="306" ht="14.25" customHeight="1" x14ac:dyDescent="0.3"/>
    <row r="307" ht="14.25" customHeight="1" x14ac:dyDescent="0.3"/>
    <row r="308" ht="14.25" customHeight="1" x14ac:dyDescent="0.3"/>
    <row r="309" ht="14.25" customHeight="1" x14ac:dyDescent="0.3"/>
    <row r="310" ht="14.25" customHeight="1" x14ac:dyDescent="0.3"/>
    <row r="311" ht="14.25" customHeight="1" x14ac:dyDescent="0.3"/>
    <row r="312" ht="14.25" customHeight="1" x14ac:dyDescent="0.3"/>
    <row r="313" ht="14.25" customHeight="1" x14ac:dyDescent="0.3"/>
    <row r="314" ht="14.25" customHeight="1" x14ac:dyDescent="0.3"/>
    <row r="315" ht="14.25" customHeight="1" x14ac:dyDescent="0.3"/>
    <row r="316" ht="14.25" customHeight="1" x14ac:dyDescent="0.3"/>
    <row r="317" ht="14.25" customHeight="1" x14ac:dyDescent="0.3"/>
    <row r="318" ht="14.25" customHeight="1" x14ac:dyDescent="0.3"/>
    <row r="319" ht="14.25" customHeight="1" x14ac:dyDescent="0.3"/>
    <row r="320" ht="14.25" customHeight="1" x14ac:dyDescent="0.3"/>
    <row r="321" ht="14.25" customHeight="1" x14ac:dyDescent="0.3"/>
    <row r="322" ht="14.25" customHeight="1" x14ac:dyDescent="0.3"/>
    <row r="323" ht="14.25" customHeight="1" x14ac:dyDescent="0.3"/>
    <row r="324" ht="14.25" customHeight="1" x14ac:dyDescent="0.3"/>
    <row r="325" ht="14.25" customHeight="1" x14ac:dyDescent="0.3"/>
    <row r="326" ht="14.25" customHeight="1" x14ac:dyDescent="0.3"/>
    <row r="327" ht="14.25" customHeight="1" x14ac:dyDescent="0.3"/>
    <row r="328" ht="14.25" customHeight="1" x14ac:dyDescent="0.3"/>
    <row r="329" ht="14.25" customHeight="1" x14ac:dyDescent="0.3"/>
    <row r="330" ht="14.25" customHeight="1" x14ac:dyDescent="0.3"/>
    <row r="331" ht="14.25" customHeight="1" x14ac:dyDescent="0.3"/>
    <row r="332" ht="14.25" customHeight="1" x14ac:dyDescent="0.3"/>
    <row r="333" ht="14.25" customHeight="1" x14ac:dyDescent="0.3"/>
    <row r="334" ht="14.25" customHeight="1" x14ac:dyDescent="0.3"/>
    <row r="335" ht="14.25" customHeight="1" x14ac:dyDescent="0.3"/>
    <row r="336" ht="14.25" customHeight="1" x14ac:dyDescent="0.3"/>
    <row r="337" ht="14.25" customHeight="1" x14ac:dyDescent="0.3"/>
    <row r="338" ht="14.25" customHeight="1" x14ac:dyDescent="0.3"/>
    <row r="339" ht="14.25" customHeight="1" x14ac:dyDescent="0.3"/>
    <row r="340" ht="14.25" customHeight="1" x14ac:dyDescent="0.3"/>
    <row r="341" ht="14.25" customHeight="1" x14ac:dyDescent="0.3"/>
    <row r="342" ht="14.25" customHeight="1" x14ac:dyDescent="0.3"/>
    <row r="343" ht="14.25" customHeight="1" x14ac:dyDescent="0.3"/>
    <row r="344" ht="14.25" customHeight="1" x14ac:dyDescent="0.3"/>
    <row r="345" ht="14.25" customHeight="1" x14ac:dyDescent="0.3"/>
    <row r="346" ht="14.25" customHeight="1" x14ac:dyDescent="0.3"/>
    <row r="347" ht="14.25" customHeight="1" x14ac:dyDescent="0.3"/>
    <row r="348" ht="14.25" customHeight="1" x14ac:dyDescent="0.3"/>
    <row r="349" ht="14.25" customHeight="1" x14ac:dyDescent="0.3"/>
    <row r="350" ht="14.25" customHeight="1" x14ac:dyDescent="0.3"/>
    <row r="351" ht="14.25" customHeight="1" x14ac:dyDescent="0.3"/>
    <row r="352" ht="14.25" customHeight="1" x14ac:dyDescent="0.3"/>
    <row r="353" ht="14.25" customHeight="1" x14ac:dyDescent="0.3"/>
    <row r="354" ht="14.25" customHeight="1" x14ac:dyDescent="0.3"/>
    <row r="355" ht="14.25" customHeight="1" x14ac:dyDescent="0.3"/>
    <row r="356" ht="14.25" customHeight="1" x14ac:dyDescent="0.3"/>
    <row r="357" ht="14.25" customHeight="1" x14ac:dyDescent="0.3"/>
    <row r="358" ht="14.25" customHeight="1" x14ac:dyDescent="0.3"/>
    <row r="359" ht="14.25" customHeight="1" x14ac:dyDescent="0.3"/>
    <row r="360" ht="14.25" customHeight="1" x14ac:dyDescent="0.3"/>
    <row r="361" ht="14.25" customHeight="1" x14ac:dyDescent="0.3"/>
    <row r="362" ht="14.25" customHeight="1" x14ac:dyDescent="0.3"/>
    <row r="363" ht="14.25" customHeight="1" x14ac:dyDescent="0.3"/>
    <row r="364" ht="14.25" customHeight="1" x14ac:dyDescent="0.3"/>
    <row r="365" ht="14.25" customHeight="1" x14ac:dyDescent="0.3"/>
    <row r="366" ht="14.25" customHeight="1" x14ac:dyDescent="0.3"/>
    <row r="367" ht="14.25" customHeight="1" x14ac:dyDescent="0.3"/>
    <row r="368" ht="14.25" customHeight="1" x14ac:dyDescent="0.3"/>
    <row r="369" ht="14.25" customHeight="1" x14ac:dyDescent="0.3"/>
    <row r="370" ht="14.25" customHeight="1" x14ac:dyDescent="0.3"/>
    <row r="371" ht="14.25" customHeight="1" x14ac:dyDescent="0.3"/>
    <row r="372" ht="14.25" customHeight="1" x14ac:dyDescent="0.3"/>
    <row r="373" ht="14.25" customHeight="1" x14ac:dyDescent="0.3"/>
    <row r="374" ht="14.25" customHeight="1" x14ac:dyDescent="0.3"/>
    <row r="375" ht="14.25" customHeight="1" x14ac:dyDescent="0.3"/>
    <row r="376" ht="14.25" customHeight="1" x14ac:dyDescent="0.3"/>
    <row r="377" ht="14.25" customHeight="1" x14ac:dyDescent="0.3"/>
    <row r="378" ht="14.25" customHeight="1" x14ac:dyDescent="0.3"/>
    <row r="379" ht="14.25" customHeight="1" x14ac:dyDescent="0.3"/>
    <row r="380" ht="14.25" customHeight="1" x14ac:dyDescent="0.3"/>
    <row r="381" ht="14.25" customHeight="1" x14ac:dyDescent="0.3"/>
    <row r="382" ht="14.25" customHeight="1" x14ac:dyDescent="0.3"/>
    <row r="383" ht="14.25" customHeight="1" x14ac:dyDescent="0.3"/>
    <row r="384" ht="14.25" customHeight="1" x14ac:dyDescent="0.3"/>
    <row r="385" ht="14.25" customHeight="1" x14ac:dyDescent="0.3"/>
    <row r="386" ht="14.25" customHeight="1" x14ac:dyDescent="0.3"/>
    <row r="387" ht="14.25" customHeight="1" x14ac:dyDescent="0.3"/>
    <row r="388" ht="14.25" customHeight="1" x14ac:dyDescent="0.3"/>
    <row r="389" ht="14.25" customHeight="1" x14ac:dyDescent="0.3"/>
    <row r="390" ht="14.25" customHeight="1" x14ac:dyDescent="0.3"/>
    <row r="391" ht="14.25" customHeight="1" x14ac:dyDescent="0.3"/>
    <row r="392" ht="14.25" customHeight="1" x14ac:dyDescent="0.3"/>
    <row r="393" ht="14.25" customHeight="1" x14ac:dyDescent="0.3"/>
    <row r="394" ht="14.25" customHeight="1" x14ac:dyDescent="0.3"/>
    <row r="395" ht="14.25" customHeight="1" x14ac:dyDescent="0.3"/>
    <row r="396" ht="14.25" customHeight="1" x14ac:dyDescent="0.3"/>
    <row r="397" ht="14.25" customHeight="1" x14ac:dyDescent="0.3"/>
    <row r="398" ht="14.25" customHeight="1" x14ac:dyDescent="0.3"/>
    <row r="399" ht="14.25" customHeight="1" x14ac:dyDescent="0.3"/>
    <row r="400" ht="14.25" customHeight="1" x14ac:dyDescent="0.3"/>
    <row r="401" ht="14.25" customHeight="1" x14ac:dyDescent="0.3"/>
    <row r="402" ht="14.25" customHeight="1" x14ac:dyDescent="0.3"/>
    <row r="403" ht="14.25" customHeight="1" x14ac:dyDescent="0.3"/>
    <row r="404" ht="14.25" customHeight="1" x14ac:dyDescent="0.3"/>
    <row r="405" ht="14.25" customHeight="1" x14ac:dyDescent="0.3"/>
    <row r="406" ht="14.25" customHeight="1" x14ac:dyDescent="0.3"/>
    <row r="407" ht="14.25" customHeight="1" x14ac:dyDescent="0.3"/>
    <row r="408" ht="14.25" customHeight="1" x14ac:dyDescent="0.3"/>
    <row r="409" ht="14.25" customHeight="1" x14ac:dyDescent="0.3"/>
    <row r="410" ht="14.25" customHeight="1" x14ac:dyDescent="0.3"/>
    <row r="411" ht="14.25" customHeight="1" x14ac:dyDescent="0.3"/>
    <row r="412" ht="14.25" customHeight="1" x14ac:dyDescent="0.3"/>
    <row r="413" ht="14.25" customHeight="1" x14ac:dyDescent="0.3"/>
    <row r="414" ht="14.25" customHeight="1" x14ac:dyDescent="0.3"/>
    <row r="415" ht="14.25" customHeight="1" x14ac:dyDescent="0.3"/>
    <row r="416" ht="14.25" customHeight="1" x14ac:dyDescent="0.3"/>
    <row r="417" ht="14.25" customHeight="1" x14ac:dyDescent="0.3"/>
    <row r="418" ht="14.25" customHeight="1" x14ac:dyDescent="0.3"/>
    <row r="419" ht="14.25" customHeight="1" x14ac:dyDescent="0.3"/>
    <row r="420" ht="14.25" customHeight="1" x14ac:dyDescent="0.3"/>
    <row r="421" ht="14.25" customHeight="1" x14ac:dyDescent="0.3"/>
    <row r="422" ht="14.25" customHeight="1" x14ac:dyDescent="0.3"/>
    <row r="423" ht="14.25" customHeight="1" x14ac:dyDescent="0.3"/>
    <row r="424" ht="14.25" customHeight="1" x14ac:dyDescent="0.3"/>
    <row r="425" ht="14.25" customHeight="1" x14ac:dyDescent="0.3"/>
    <row r="426" ht="14.25" customHeight="1" x14ac:dyDescent="0.3"/>
    <row r="427" ht="14.25" customHeight="1" x14ac:dyDescent="0.3"/>
    <row r="428" ht="14.25" customHeight="1" x14ac:dyDescent="0.3"/>
    <row r="429" ht="14.25" customHeight="1" x14ac:dyDescent="0.3"/>
    <row r="430" ht="14.25" customHeight="1" x14ac:dyDescent="0.3"/>
    <row r="431" ht="14.25" customHeight="1" x14ac:dyDescent="0.3"/>
    <row r="432" ht="14.25" customHeight="1" x14ac:dyDescent="0.3"/>
    <row r="433" ht="14.25" customHeight="1" x14ac:dyDescent="0.3"/>
    <row r="434" ht="14.25" customHeight="1" x14ac:dyDescent="0.3"/>
    <row r="435" ht="14.25" customHeight="1" x14ac:dyDescent="0.3"/>
    <row r="436" ht="14.25" customHeight="1" x14ac:dyDescent="0.3"/>
    <row r="437" ht="14.25" customHeight="1" x14ac:dyDescent="0.3"/>
    <row r="438" ht="14.25" customHeight="1" x14ac:dyDescent="0.3"/>
    <row r="439" ht="14.25" customHeight="1" x14ac:dyDescent="0.3"/>
    <row r="440" ht="14.25" customHeight="1" x14ac:dyDescent="0.3"/>
    <row r="441" ht="14.25" customHeight="1" x14ac:dyDescent="0.3"/>
    <row r="442" ht="14.25" customHeight="1" x14ac:dyDescent="0.3"/>
    <row r="443" ht="14.25" customHeight="1" x14ac:dyDescent="0.3"/>
    <row r="444" ht="14.25" customHeight="1" x14ac:dyDescent="0.3"/>
    <row r="445" ht="14.25" customHeight="1" x14ac:dyDescent="0.3"/>
    <row r="446" ht="14.25" customHeight="1" x14ac:dyDescent="0.3"/>
    <row r="447" ht="14.25" customHeight="1" x14ac:dyDescent="0.3"/>
    <row r="448" ht="14.25" customHeight="1" x14ac:dyDescent="0.3"/>
    <row r="449" ht="14.25" customHeight="1" x14ac:dyDescent="0.3"/>
    <row r="450" ht="14.25" customHeight="1" x14ac:dyDescent="0.3"/>
    <row r="451" ht="14.25" customHeight="1" x14ac:dyDescent="0.3"/>
    <row r="452" ht="14.25" customHeight="1" x14ac:dyDescent="0.3"/>
    <row r="453" ht="14.25" customHeight="1" x14ac:dyDescent="0.3"/>
    <row r="454" ht="14.25" customHeight="1" x14ac:dyDescent="0.3"/>
    <row r="455" ht="14.25" customHeight="1" x14ac:dyDescent="0.3"/>
    <row r="456" ht="14.25" customHeight="1" x14ac:dyDescent="0.3"/>
    <row r="457" ht="14.25" customHeight="1" x14ac:dyDescent="0.3"/>
    <row r="458" ht="14.25" customHeight="1" x14ac:dyDescent="0.3"/>
    <row r="459" ht="14.25" customHeight="1" x14ac:dyDescent="0.3"/>
    <row r="460" ht="14.25" customHeight="1" x14ac:dyDescent="0.3"/>
    <row r="461" ht="14.25" customHeight="1" x14ac:dyDescent="0.3"/>
    <row r="462" ht="14.25" customHeight="1" x14ac:dyDescent="0.3"/>
    <row r="463" ht="14.25" customHeight="1" x14ac:dyDescent="0.3"/>
    <row r="464" ht="14.25" customHeight="1" x14ac:dyDescent="0.3"/>
    <row r="465" ht="14.25" customHeight="1" x14ac:dyDescent="0.3"/>
    <row r="466" ht="14.25" customHeight="1" x14ac:dyDescent="0.3"/>
    <row r="467" ht="14.25" customHeight="1" x14ac:dyDescent="0.3"/>
    <row r="468" ht="14.25" customHeight="1" x14ac:dyDescent="0.3"/>
    <row r="469" ht="14.25" customHeight="1" x14ac:dyDescent="0.3"/>
    <row r="470" ht="14.25" customHeight="1" x14ac:dyDescent="0.3"/>
    <row r="471" ht="14.25" customHeight="1" x14ac:dyDescent="0.3"/>
    <row r="472" ht="14.25" customHeight="1" x14ac:dyDescent="0.3"/>
    <row r="473" ht="14.25" customHeight="1" x14ac:dyDescent="0.3"/>
    <row r="474" ht="14.25" customHeight="1" x14ac:dyDescent="0.3"/>
    <row r="475" ht="14.25" customHeight="1" x14ac:dyDescent="0.3"/>
    <row r="476" ht="14.25" customHeight="1" x14ac:dyDescent="0.3"/>
    <row r="477" ht="14.25" customHeight="1" x14ac:dyDescent="0.3"/>
    <row r="478" ht="14.25" customHeight="1" x14ac:dyDescent="0.3"/>
    <row r="479" ht="14.25" customHeight="1" x14ac:dyDescent="0.3"/>
    <row r="480" ht="14.25" customHeight="1" x14ac:dyDescent="0.3"/>
    <row r="481" ht="14.25" customHeight="1" x14ac:dyDescent="0.3"/>
    <row r="482" ht="14.25" customHeight="1" x14ac:dyDescent="0.3"/>
    <row r="483" ht="14.25" customHeight="1" x14ac:dyDescent="0.3"/>
    <row r="484" ht="14.25" customHeight="1" x14ac:dyDescent="0.3"/>
    <row r="485" ht="14.25" customHeight="1" x14ac:dyDescent="0.3"/>
    <row r="486" ht="14.25" customHeight="1" x14ac:dyDescent="0.3"/>
    <row r="487" ht="14.25" customHeight="1" x14ac:dyDescent="0.3"/>
    <row r="488" ht="14.25" customHeight="1" x14ac:dyDescent="0.3"/>
    <row r="489" ht="14.25" customHeight="1" x14ac:dyDescent="0.3"/>
    <row r="490" ht="14.25" customHeight="1" x14ac:dyDescent="0.3"/>
    <row r="491" ht="14.25" customHeight="1" x14ac:dyDescent="0.3"/>
    <row r="492" ht="14.25" customHeight="1" x14ac:dyDescent="0.3"/>
    <row r="493" ht="14.25" customHeight="1" x14ac:dyDescent="0.3"/>
    <row r="494" ht="14.25" customHeight="1" x14ac:dyDescent="0.3"/>
    <row r="495" ht="14.25" customHeight="1" x14ac:dyDescent="0.3"/>
    <row r="496" ht="14.25" customHeight="1" x14ac:dyDescent="0.3"/>
    <row r="497" ht="14.25" customHeight="1" x14ac:dyDescent="0.3"/>
    <row r="498" ht="14.25" customHeight="1" x14ac:dyDescent="0.3"/>
    <row r="499" ht="14.25" customHeight="1" x14ac:dyDescent="0.3"/>
    <row r="500" ht="14.25" customHeight="1" x14ac:dyDescent="0.3"/>
    <row r="501" ht="14.25" customHeight="1" x14ac:dyDescent="0.3"/>
    <row r="502" ht="14.25" customHeight="1" x14ac:dyDescent="0.3"/>
    <row r="503" ht="14.25" customHeight="1" x14ac:dyDescent="0.3"/>
    <row r="504" ht="14.25" customHeight="1" x14ac:dyDescent="0.3"/>
    <row r="505" ht="14.25" customHeight="1" x14ac:dyDescent="0.3"/>
    <row r="506" ht="14.25" customHeight="1" x14ac:dyDescent="0.3"/>
    <row r="507" ht="14.25" customHeight="1" x14ac:dyDescent="0.3"/>
    <row r="508" ht="14.25" customHeight="1" x14ac:dyDescent="0.3"/>
    <row r="509" ht="14.25" customHeight="1" x14ac:dyDescent="0.3"/>
    <row r="510" ht="14.25" customHeight="1" x14ac:dyDescent="0.3"/>
    <row r="511" ht="14.25" customHeight="1" x14ac:dyDescent="0.3"/>
    <row r="512" ht="14.25" customHeight="1" x14ac:dyDescent="0.3"/>
    <row r="513" ht="14.25" customHeight="1" x14ac:dyDescent="0.3"/>
    <row r="514" ht="14.25" customHeight="1" x14ac:dyDescent="0.3"/>
    <row r="515" ht="14.25" customHeight="1" x14ac:dyDescent="0.3"/>
    <row r="516" ht="14.25" customHeight="1" x14ac:dyDescent="0.3"/>
    <row r="517" ht="14.25" customHeight="1" x14ac:dyDescent="0.3"/>
    <row r="518" ht="14.25" customHeight="1" x14ac:dyDescent="0.3"/>
    <row r="519" ht="14.25" customHeight="1" x14ac:dyDescent="0.3"/>
    <row r="520" ht="14.25" customHeight="1" x14ac:dyDescent="0.3"/>
    <row r="521" ht="14.25" customHeight="1" x14ac:dyDescent="0.3"/>
    <row r="522" ht="14.25" customHeight="1" x14ac:dyDescent="0.3"/>
    <row r="523" ht="14.25" customHeight="1" x14ac:dyDescent="0.3"/>
    <row r="524" ht="14.25" customHeight="1" x14ac:dyDescent="0.3"/>
    <row r="525" ht="14.25" customHeight="1" x14ac:dyDescent="0.3"/>
    <row r="526" ht="14.25" customHeight="1" x14ac:dyDescent="0.3"/>
    <row r="527" ht="14.25" customHeight="1" x14ac:dyDescent="0.3"/>
    <row r="528" ht="14.25" customHeight="1" x14ac:dyDescent="0.3"/>
    <row r="529" ht="14.25" customHeight="1" x14ac:dyDescent="0.3"/>
    <row r="530" ht="14.25" customHeight="1" x14ac:dyDescent="0.3"/>
    <row r="531" ht="14.25" customHeight="1" x14ac:dyDescent="0.3"/>
    <row r="532" ht="14.25" customHeight="1" x14ac:dyDescent="0.3"/>
    <row r="533" ht="14.25" customHeight="1" x14ac:dyDescent="0.3"/>
    <row r="534" ht="14.25" customHeight="1" x14ac:dyDescent="0.3"/>
    <row r="535" ht="14.25" customHeight="1" x14ac:dyDescent="0.3"/>
    <row r="536" ht="14.25" customHeight="1" x14ac:dyDescent="0.3"/>
    <row r="537" ht="14.25" customHeight="1" x14ac:dyDescent="0.3"/>
    <row r="538" ht="14.25" customHeight="1" x14ac:dyDescent="0.3"/>
    <row r="539" ht="14.25" customHeight="1" x14ac:dyDescent="0.3"/>
    <row r="540" ht="14.25" customHeight="1" x14ac:dyDescent="0.3"/>
    <row r="541" ht="14.25" customHeight="1" x14ac:dyDescent="0.3"/>
    <row r="542" ht="14.25" customHeight="1" x14ac:dyDescent="0.3"/>
    <row r="543" ht="14.25" customHeight="1" x14ac:dyDescent="0.3"/>
    <row r="544" ht="14.25" customHeight="1" x14ac:dyDescent="0.3"/>
    <row r="545" ht="14.25" customHeight="1" x14ac:dyDescent="0.3"/>
    <row r="546" ht="14.25" customHeight="1" x14ac:dyDescent="0.3"/>
    <row r="547" ht="14.25" customHeight="1" x14ac:dyDescent="0.3"/>
    <row r="548" ht="14.25" customHeight="1" x14ac:dyDescent="0.3"/>
    <row r="549" ht="14.25" customHeight="1" x14ac:dyDescent="0.3"/>
    <row r="550" ht="14.25" customHeight="1" x14ac:dyDescent="0.3"/>
    <row r="551" ht="14.25" customHeight="1" x14ac:dyDescent="0.3"/>
    <row r="552" ht="14.25" customHeight="1" x14ac:dyDescent="0.3"/>
    <row r="553" ht="14.25" customHeight="1" x14ac:dyDescent="0.3"/>
    <row r="554" ht="14.25" customHeight="1" x14ac:dyDescent="0.3"/>
    <row r="555" ht="14.25" customHeight="1" x14ac:dyDescent="0.3"/>
    <row r="556" ht="14.25" customHeight="1" x14ac:dyDescent="0.3"/>
    <row r="557" ht="14.25" customHeight="1" x14ac:dyDescent="0.3"/>
    <row r="558" ht="14.25" customHeight="1" x14ac:dyDescent="0.3"/>
    <row r="559" ht="14.25" customHeight="1" x14ac:dyDescent="0.3"/>
    <row r="560" ht="14.25" customHeight="1" x14ac:dyDescent="0.3"/>
    <row r="561" ht="14.25" customHeight="1" x14ac:dyDescent="0.3"/>
    <row r="562" ht="14.25" customHeight="1" x14ac:dyDescent="0.3"/>
    <row r="563" ht="14.25" customHeight="1" x14ac:dyDescent="0.3"/>
    <row r="564" ht="14.25" customHeight="1" x14ac:dyDescent="0.3"/>
    <row r="565" ht="14.25" customHeight="1" x14ac:dyDescent="0.3"/>
    <row r="566" ht="14.25" customHeight="1" x14ac:dyDescent="0.3"/>
    <row r="567" ht="14.25" customHeight="1" x14ac:dyDescent="0.3"/>
    <row r="568" ht="14.25" customHeight="1" x14ac:dyDescent="0.3"/>
    <row r="569" ht="14.25" customHeight="1" x14ac:dyDescent="0.3"/>
    <row r="570" ht="14.25" customHeight="1" x14ac:dyDescent="0.3"/>
    <row r="571" ht="14.25" customHeight="1" x14ac:dyDescent="0.3"/>
    <row r="572" ht="14.25" customHeight="1" x14ac:dyDescent="0.3"/>
    <row r="573" ht="14.25" customHeight="1" x14ac:dyDescent="0.3"/>
    <row r="574" ht="14.25" customHeight="1" x14ac:dyDescent="0.3"/>
    <row r="575" ht="14.25" customHeight="1" x14ac:dyDescent="0.3"/>
    <row r="576" ht="14.25" customHeight="1" x14ac:dyDescent="0.3"/>
    <row r="577" ht="14.25" customHeight="1" x14ac:dyDescent="0.3"/>
    <row r="578" ht="14.25" customHeight="1" x14ac:dyDescent="0.3"/>
    <row r="579" ht="14.25" customHeight="1" x14ac:dyDescent="0.3"/>
    <row r="580" ht="14.25" customHeight="1" x14ac:dyDescent="0.3"/>
    <row r="581" ht="14.25" customHeight="1" x14ac:dyDescent="0.3"/>
    <row r="582" ht="14.25" customHeight="1" x14ac:dyDescent="0.3"/>
    <row r="583" ht="14.25" customHeight="1" x14ac:dyDescent="0.3"/>
    <row r="584" ht="14.25" customHeight="1" x14ac:dyDescent="0.3"/>
    <row r="585" ht="14.25" customHeight="1" x14ac:dyDescent="0.3"/>
    <row r="586" ht="14.25" customHeight="1" x14ac:dyDescent="0.3"/>
    <row r="587" ht="14.25" customHeight="1" x14ac:dyDescent="0.3"/>
    <row r="588" ht="14.25" customHeight="1" x14ac:dyDescent="0.3"/>
    <row r="589" ht="14.25" customHeight="1" x14ac:dyDescent="0.3"/>
    <row r="590" ht="14.25" customHeight="1" x14ac:dyDescent="0.3"/>
    <row r="591" ht="14.25" customHeight="1" x14ac:dyDescent="0.3"/>
    <row r="592" ht="14.25" customHeight="1" x14ac:dyDescent="0.3"/>
    <row r="593" ht="14.25" customHeight="1" x14ac:dyDescent="0.3"/>
    <row r="594" ht="14.25" customHeight="1" x14ac:dyDescent="0.3"/>
    <row r="595" ht="14.25" customHeight="1" x14ac:dyDescent="0.3"/>
    <row r="596" ht="14.25" customHeight="1" x14ac:dyDescent="0.3"/>
    <row r="597" ht="14.25" customHeight="1" x14ac:dyDescent="0.3"/>
    <row r="598" ht="14.25" customHeight="1" x14ac:dyDescent="0.3"/>
    <row r="599" ht="14.25" customHeight="1" x14ac:dyDescent="0.3"/>
    <row r="600" ht="14.25" customHeight="1" x14ac:dyDescent="0.3"/>
    <row r="601" ht="14.25" customHeight="1" x14ac:dyDescent="0.3"/>
    <row r="602" ht="14.25" customHeight="1" x14ac:dyDescent="0.3"/>
    <row r="603" ht="14.25" customHeight="1" x14ac:dyDescent="0.3"/>
    <row r="604" ht="14.25" customHeight="1" x14ac:dyDescent="0.3"/>
    <row r="605" ht="14.25" customHeight="1" x14ac:dyDescent="0.3"/>
    <row r="606" ht="14.25" customHeight="1" x14ac:dyDescent="0.3"/>
    <row r="607" ht="14.25" customHeight="1" x14ac:dyDescent="0.3"/>
    <row r="608" ht="14.25" customHeight="1" x14ac:dyDescent="0.3"/>
    <row r="609" ht="14.25" customHeight="1" x14ac:dyDescent="0.3"/>
    <row r="610" ht="14.25" customHeight="1" x14ac:dyDescent="0.3"/>
    <row r="611" ht="14.25" customHeight="1" x14ac:dyDescent="0.3"/>
    <row r="612" ht="14.25" customHeight="1" x14ac:dyDescent="0.3"/>
    <row r="613" ht="14.25" customHeight="1" x14ac:dyDescent="0.3"/>
    <row r="614" ht="14.25" customHeight="1" x14ac:dyDescent="0.3"/>
    <row r="615" ht="14.25" customHeight="1" x14ac:dyDescent="0.3"/>
    <row r="616" ht="14.25" customHeight="1" x14ac:dyDescent="0.3"/>
    <row r="617" ht="14.25" customHeight="1" x14ac:dyDescent="0.3"/>
    <row r="618" ht="14.25" customHeight="1" x14ac:dyDescent="0.3"/>
    <row r="619" ht="14.25" customHeight="1" x14ac:dyDescent="0.3"/>
    <row r="620" ht="14.25" customHeight="1" x14ac:dyDescent="0.3"/>
    <row r="621" ht="14.25" customHeight="1" x14ac:dyDescent="0.3"/>
    <row r="622" ht="14.25" customHeight="1" x14ac:dyDescent="0.3"/>
    <row r="623" ht="14.25" customHeight="1" x14ac:dyDescent="0.3"/>
    <row r="624" ht="14.25" customHeight="1" x14ac:dyDescent="0.3"/>
    <row r="625" ht="14.25" customHeight="1" x14ac:dyDescent="0.3"/>
    <row r="626" ht="14.25" customHeight="1" x14ac:dyDescent="0.3"/>
    <row r="627" ht="14.25" customHeight="1" x14ac:dyDescent="0.3"/>
    <row r="628" ht="14.25" customHeight="1" x14ac:dyDescent="0.3"/>
    <row r="629" ht="14.25" customHeight="1" x14ac:dyDescent="0.3"/>
    <row r="630" ht="14.25" customHeight="1" x14ac:dyDescent="0.3"/>
    <row r="631" ht="14.25" customHeight="1" x14ac:dyDescent="0.3"/>
    <row r="632" ht="14.25" customHeight="1" x14ac:dyDescent="0.3"/>
    <row r="633" ht="14.25" customHeight="1" x14ac:dyDescent="0.3"/>
    <row r="634" ht="14.25" customHeight="1" x14ac:dyDescent="0.3"/>
    <row r="635" ht="14.25" customHeight="1" x14ac:dyDescent="0.3"/>
    <row r="636" ht="14.25" customHeight="1" x14ac:dyDescent="0.3"/>
    <row r="637" ht="14.25" customHeight="1" x14ac:dyDescent="0.3"/>
    <row r="638" ht="14.25" customHeight="1" x14ac:dyDescent="0.3"/>
    <row r="639" ht="14.25" customHeight="1" x14ac:dyDescent="0.3"/>
    <row r="640" ht="14.25" customHeight="1" x14ac:dyDescent="0.3"/>
    <row r="641" ht="14.25" customHeight="1" x14ac:dyDescent="0.3"/>
    <row r="642" ht="14.25" customHeight="1" x14ac:dyDescent="0.3"/>
    <row r="643" ht="14.25" customHeight="1" x14ac:dyDescent="0.3"/>
    <row r="644" ht="14.25" customHeight="1" x14ac:dyDescent="0.3"/>
    <row r="645" ht="14.25" customHeight="1" x14ac:dyDescent="0.3"/>
    <row r="646" ht="14.25" customHeight="1" x14ac:dyDescent="0.3"/>
    <row r="647" ht="14.25" customHeight="1" x14ac:dyDescent="0.3"/>
    <row r="648" ht="14.25" customHeight="1" x14ac:dyDescent="0.3"/>
    <row r="649" ht="14.25" customHeight="1" x14ac:dyDescent="0.3"/>
    <row r="650" ht="14.25" customHeight="1" x14ac:dyDescent="0.3"/>
    <row r="651" ht="14.25" customHeight="1" x14ac:dyDescent="0.3"/>
    <row r="652" ht="14.25" customHeight="1" x14ac:dyDescent="0.3"/>
    <row r="653" ht="14.25" customHeight="1" x14ac:dyDescent="0.3"/>
    <row r="654" ht="14.25" customHeight="1" x14ac:dyDescent="0.3"/>
    <row r="655" ht="14.25" customHeight="1" x14ac:dyDescent="0.3"/>
    <row r="656" ht="14.25" customHeight="1" x14ac:dyDescent="0.3"/>
    <row r="657" ht="14.25" customHeight="1" x14ac:dyDescent="0.3"/>
    <row r="658" ht="14.25" customHeight="1" x14ac:dyDescent="0.3"/>
    <row r="659" ht="14.25" customHeight="1" x14ac:dyDescent="0.3"/>
    <row r="660" ht="14.25" customHeight="1" x14ac:dyDescent="0.3"/>
    <row r="661" ht="14.25" customHeight="1" x14ac:dyDescent="0.3"/>
    <row r="662" ht="14.25" customHeight="1" x14ac:dyDescent="0.3"/>
    <row r="663" ht="14.25" customHeight="1" x14ac:dyDescent="0.3"/>
    <row r="664" ht="14.25" customHeight="1" x14ac:dyDescent="0.3"/>
    <row r="665" ht="14.25" customHeight="1" x14ac:dyDescent="0.3"/>
    <row r="666" ht="14.25" customHeight="1" x14ac:dyDescent="0.3"/>
    <row r="667" ht="14.25" customHeight="1" x14ac:dyDescent="0.3"/>
    <row r="668" ht="14.25" customHeight="1" x14ac:dyDescent="0.3"/>
    <row r="669" ht="14.25" customHeight="1" x14ac:dyDescent="0.3"/>
    <row r="670" ht="14.25" customHeight="1" x14ac:dyDescent="0.3"/>
    <row r="671" ht="14.25" customHeight="1" x14ac:dyDescent="0.3"/>
    <row r="672" ht="14.25" customHeight="1" x14ac:dyDescent="0.3"/>
    <row r="673" ht="14.25" customHeight="1" x14ac:dyDescent="0.3"/>
    <row r="674" ht="14.25" customHeight="1" x14ac:dyDescent="0.3"/>
    <row r="675" ht="14.25" customHeight="1" x14ac:dyDescent="0.3"/>
    <row r="676" ht="14.25" customHeight="1" x14ac:dyDescent="0.3"/>
    <row r="677" ht="14.25" customHeight="1" x14ac:dyDescent="0.3"/>
    <row r="678" ht="14.25" customHeight="1" x14ac:dyDescent="0.3"/>
    <row r="679" ht="14.25" customHeight="1" x14ac:dyDescent="0.3"/>
    <row r="680" ht="14.25" customHeight="1" x14ac:dyDescent="0.3"/>
    <row r="681" ht="14.25" customHeight="1" x14ac:dyDescent="0.3"/>
    <row r="682" ht="14.25" customHeight="1" x14ac:dyDescent="0.3"/>
    <row r="683" ht="14.25" customHeight="1" x14ac:dyDescent="0.3"/>
    <row r="684" ht="14.25" customHeight="1" x14ac:dyDescent="0.3"/>
    <row r="685" ht="14.25" customHeight="1" x14ac:dyDescent="0.3"/>
    <row r="686" ht="14.25" customHeight="1" x14ac:dyDescent="0.3"/>
    <row r="687" ht="14.25" customHeight="1" x14ac:dyDescent="0.3"/>
    <row r="688" ht="14.25" customHeight="1" x14ac:dyDescent="0.3"/>
    <row r="689" ht="14.25" customHeight="1" x14ac:dyDescent="0.3"/>
    <row r="690" ht="14.25" customHeight="1" x14ac:dyDescent="0.3"/>
    <row r="691" ht="14.25" customHeight="1" x14ac:dyDescent="0.3"/>
    <row r="692" ht="14.25" customHeight="1" x14ac:dyDescent="0.3"/>
    <row r="693" ht="14.25" customHeight="1" x14ac:dyDescent="0.3"/>
    <row r="694" ht="14.25" customHeight="1" x14ac:dyDescent="0.3"/>
    <row r="695" ht="14.25" customHeight="1" x14ac:dyDescent="0.3"/>
    <row r="696" ht="14.25" customHeight="1" x14ac:dyDescent="0.3"/>
    <row r="697" ht="14.25" customHeight="1" x14ac:dyDescent="0.3"/>
    <row r="698" ht="14.25" customHeight="1" x14ac:dyDescent="0.3"/>
    <row r="699" ht="14.25" customHeight="1" x14ac:dyDescent="0.3"/>
    <row r="700" ht="14.25" customHeight="1" x14ac:dyDescent="0.3"/>
    <row r="701" ht="14.25" customHeight="1" x14ac:dyDescent="0.3"/>
    <row r="702" ht="14.25" customHeight="1" x14ac:dyDescent="0.3"/>
    <row r="703" ht="14.25" customHeight="1" x14ac:dyDescent="0.3"/>
    <row r="704" ht="14.25" customHeight="1" x14ac:dyDescent="0.3"/>
    <row r="705" ht="14.25" customHeight="1" x14ac:dyDescent="0.3"/>
    <row r="706" ht="14.25" customHeight="1" x14ac:dyDescent="0.3"/>
    <row r="707" ht="14.25" customHeight="1" x14ac:dyDescent="0.3"/>
    <row r="708" ht="14.25" customHeight="1" x14ac:dyDescent="0.3"/>
    <row r="709" ht="14.25" customHeight="1" x14ac:dyDescent="0.3"/>
    <row r="710" ht="14.25" customHeight="1" x14ac:dyDescent="0.3"/>
    <row r="711" ht="14.25" customHeight="1" x14ac:dyDescent="0.3"/>
    <row r="712" ht="14.25" customHeight="1" x14ac:dyDescent="0.3"/>
    <row r="713" ht="14.25" customHeight="1" x14ac:dyDescent="0.3"/>
    <row r="714" ht="14.25" customHeight="1" x14ac:dyDescent="0.3"/>
    <row r="715" ht="14.25" customHeight="1" x14ac:dyDescent="0.3"/>
    <row r="716" ht="14.25" customHeight="1" x14ac:dyDescent="0.3"/>
    <row r="717" ht="14.25" customHeight="1" x14ac:dyDescent="0.3"/>
    <row r="718" ht="14.25" customHeight="1" x14ac:dyDescent="0.3"/>
    <row r="719" ht="14.25" customHeight="1" x14ac:dyDescent="0.3"/>
    <row r="720" ht="14.25" customHeight="1" x14ac:dyDescent="0.3"/>
    <row r="721" ht="14.25" customHeight="1" x14ac:dyDescent="0.3"/>
    <row r="722" ht="14.25" customHeight="1" x14ac:dyDescent="0.3"/>
    <row r="723" ht="14.25" customHeight="1" x14ac:dyDescent="0.3"/>
    <row r="724" ht="14.25" customHeight="1" x14ac:dyDescent="0.3"/>
    <row r="725" ht="14.25" customHeight="1" x14ac:dyDescent="0.3"/>
    <row r="726" ht="14.25" customHeight="1" x14ac:dyDescent="0.3"/>
    <row r="727" ht="14.25" customHeight="1" x14ac:dyDescent="0.3"/>
    <row r="728" ht="14.25" customHeight="1" x14ac:dyDescent="0.3"/>
    <row r="729" ht="14.25" customHeight="1" x14ac:dyDescent="0.3"/>
    <row r="730" ht="14.25" customHeight="1" x14ac:dyDescent="0.3"/>
    <row r="731" ht="14.25" customHeight="1" x14ac:dyDescent="0.3"/>
    <row r="732" ht="14.25" customHeight="1" x14ac:dyDescent="0.3"/>
    <row r="733" ht="14.25" customHeight="1" x14ac:dyDescent="0.3"/>
    <row r="734" ht="14.25" customHeight="1" x14ac:dyDescent="0.3"/>
    <row r="735" ht="14.25" customHeight="1" x14ac:dyDescent="0.3"/>
    <row r="736" ht="14.25" customHeight="1" x14ac:dyDescent="0.3"/>
    <row r="737" ht="14.25" customHeight="1" x14ac:dyDescent="0.3"/>
    <row r="738" ht="14.25" customHeight="1" x14ac:dyDescent="0.3"/>
    <row r="739" ht="14.25" customHeight="1" x14ac:dyDescent="0.3"/>
    <row r="740" ht="14.25" customHeight="1" x14ac:dyDescent="0.3"/>
    <row r="741" ht="14.25" customHeight="1" x14ac:dyDescent="0.3"/>
    <row r="742" ht="14.25" customHeight="1" x14ac:dyDescent="0.3"/>
    <row r="743" ht="14.25" customHeight="1" x14ac:dyDescent="0.3"/>
    <row r="744" ht="14.25" customHeight="1" x14ac:dyDescent="0.3"/>
    <row r="745" ht="14.25" customHeight="1" x14ac:dyDescent="0.3"/>
    <row r="746" ht="14.25" customHeight="1" x14ac:dyDescent="0.3"/>
    <row r="747" ht="14.25" customHeight="1" x14ac:dyDescent="0.3"/>
    <row r="748" ht="14.25" customHeight="1" x14ac:dyDescent="0.3"/>
    <row r="749" ht="14.25" customHeight="1" x14ac:dyDescent="0.3"/>
    <row r="750" ht="14.25" customHeight="1" x14ac:dyDescent="0.3"/>
    <row r="751" ht="14.25" customHeight="1" x14ac:dyDescent="0.3"/>
    <row r="752" ht="14.25" customHeight="1" x14ac:dyDescent="0.3"/>
    <row r="753" ht="14.25" customHeight="1" x14ac:dyDescent="0.3"/>
    <row r="754" ht="14.25" customHeight="1" x14ac:dyDescent="0.3"/>
    <row r="755" ht="14.25" customHeight="1" x14ac:dyDescent="0.3"/>
    <row r="756" ht="14.25" customHeight="1" x14ac:dyDescent="0.3"/>
    <row r="757" ht="14.25" customHeight="1" x14ac:dyDescent="0.3"/>
    <row r="758" ht="14.25" customHeight="1" x14ac:dyDescent="0.3"/>
    <row r="759" ht="14.25" customHeight="1" x14ac:dyDescent="0.3"/>
    <row r="760" ht="14.25" customHeight="1" x14ac:dyDescent="0.3"/>
    <row r="761" ht="14.25" customHeight="1" x14ac:dyDescent="0.3"/>
    <row r="762" ht="14.25" customHeight="1" x14ac:dyDescent="0.3"/>
    <row r="763" ht="14.25" customHeight="1" x14ac:dyDescent="0.3"/>
    <row r="764" ht="14.25" customHeight="1" x14ac:dyDescent="0.3"/>
    <row r="765" ht="14.25" customHeight="1" x14ac:dyDescent="0.3"/>
    <row r="766" ht="14.25" customHeight="1" x14ac:dyDescent="0.3"/>
    <row r="767" ht="14.25" customHeight="1" x14ac:dyDescent="0.3"/>
    <row r="768" ht="14.25" customHeight="1" x14ac:dyDescent="0.3"/>
    <row r="769" ht="14.25" customHeight="1" x14ac:dyDescent="0.3"/>
    <row r="770" ht="14.25" customHeight="1" x14ac:dyDescent="0.3"/>
    <row r="771" ht="14.25" customHeight="1" x14ac:dyDescent="0.3"/>
    <row r="772" ht="14.25" customHeight="1" x14ac:dyDescent="0.3"/>
    <row r="773" ht="14.25" customHeight="1" x14ac:dyDescent="0.3"/>
    <row r="774" ht="14.25" customHeight="1" x14ac:dyDescent="0.3"/>
    <row r="775" ht="14.25" customHeight="1" x14ac:dyDescent="0.3"/>
    <row r="776" ht="14.25" customHeight="1" x14ac:dyDescent="0.3"/>
    <row r="777" ht="14.25" customHeight="1" x14ac:dyDescent="0.3"/>
    <row r="778" ht="14.25" customHeight="1" x14ac:dyDescent="0.3"/>
    <row r="779" ht="14.25" customHeight="1" x14ac:dyDescent="0.3"/>
    <row r="780" ht="14.25" customHeight="1" x14ac:dyDescent="0.3"/>
    <row r="781" ht="14.25" customHeight="1" x14ac:dyDescent="0.3"/>
    <row r="782" ht="14.25" customHeight="1" x14ac:dyDescent="0.3"/>
    <row r="783" ht="14.25" customHeight="1" x14ac:dyDescent="0.3"/>
    <row r="784" ht="14.25" customHeight="1" x14ac:dyDescent="0.3"/>
    <row r="785" ht="14.25" customHeight="1" x14ac:dyDescent="0.3"/>
    <row r="786" ht="14.25" customHeight="1" x14ac:dyDescent="0.3"/>
    <row r="787" ht="14.25" customHeight="1" x14ac:dyDescent="0.3"/>
    <row r="788" ht="14.25" customHeight="1" x14ac:dyDescent="0.3"/>
    <row r="789" ht="14.25" customHeight="1" x14ac:dyDescent="0.3"/>
    <row r="790" ht="14.25" customHeight="1" x14ac:dyDescent="0.3"/>
    <row r="791" ht="14.25" customHeight="1" x14ac:dyDescent="0.3"/>
    <row r="792" ht="14.25" customHeight="1" x14ac:dyDescent="0.3"/>
    <row r="793" ht="14.25" customHeight="1" x14ac:dyDescent="0.3"/>
    <row r="794" ht="14.25" customHeight="1" x14ac:dyDescent="0.3"/>
    <row r="795" ht="14.25" customHeight="1" x14ac:dyDescent="0.3"/>
    <row r="796" ht="14.25" customHeight="1" x14ac:dyDescent="0.3"/>
    <row r="797" ht="14.25" customHeight="1" x14ac:dyDescent="0.3"/>
    <row r="798" ht="14.25" customHeight="1" x14ac:dyDescent="0.3"/>
    <row r="799" ht="14.25" customHeight="1" x14ac:dyDescent="0.3"/>
    <row r="800" ht="14.25" customHeight="1" x14ac:dyDescent="0.3"/>
    <row r="801" ht="14.25" customHeight="1" x14ac:dyDescent="0.3"/>
    <row r="802" ht="14.25" customHeight="1" x14ac:dyDescent="0.3"/>
    <row r="803" ht="14.25" customHeight="1" x14ac:dyDescent="0.3"/>
    <row r="804" ht="14.25" customHeight="1" x14ac:dyDescent="0.3"/>
    <row r="805" ht="14.25" customHeight="1" x14ac:dyDescent="0.3"/>
    <row r="806" ht="14.25" customHeight="1" x14ac:dyDescent="0.3"/>
    <row r="807" ht="14.25" customHeight="1" x14ac:dyDescent="0.3"/>
    <row r="808" ht="14.25" customHeight="1" x14ac:dyDescent="0.3"/>
    <row r="809" ht="14.25" customHeight="1" x14ac:dyDescent="0.3"/>
    <row r="810" ht="14.25" customHeight="1" x14ac:dyDescent="0.3"/>
    <row r="811" ht="14.25" customHeight="1" x14ac:dyDescent="0.3"/>
    <row r="812" ht="14.25" customHeight="1" x14ac:dyDescent="0.3"/>
    <row r="813" ht="14.25" customHeight="1" x14ac:dyDescent="0.3"/>
    <row r="814" ht="14.25" customHeight="1" x14ac:dyDescent="0.3"/>
    <row r="815" ht="14.25" customHeight="1" x14ac:dyDescent="0.3"/>
    <row r="816" ht="14.25" customHeight="1" x14ac:dyDescent="0.3"/>
    <row r="817" ht="14.25" customHeight="1" x14ac:dyDescent="0.3"/>
    <row r="818" ht="14.25" customHeight="1" x14ac:dyDescent="0.3"/>
    <row r="819" ht="14.25" customHeight="1" x14ac:dyDescent="0.3"/>
    <row r="820" ht="14.25" customHeight="1" x14ac:dyDescent="0.3"/>
    <row r="821" ht="14.25" customHeight="1" x14ac:dyDescent="0.3"/>
    <row r="822" ht="14.25" customHeight="1" x14ac:dyDescent="0.3"/>
    <row r="823" ht="14.25" customHeight="1" x14ac:dyDescent="0.3"/>
    <row r="824" ht="14.25" customHeight="1" x14ac:dyDescent="0.3"/>
    <row r="825" ht="14.25" customHeight="1" x14ac:dyDescent="0.3"/>
    <row r="826" ht="14.25" customHeight="1" x14ac:dyDescent="0.3"/>
    <row r="827" ht="14.25" customHeight="1" x14ac:dyDescent="0.3"/>
    <row r="828" ht="14.25" customHeight="1" x14ac:dyDescent="0.3"/>
    <row r="829" ht="14.25" customHeight="1" x14ac:dyDescent="0.3"/>
    <row r="830" ht="14.25" customHeight="1" x14ac:dyDescent="0.3"/>
    <row r="831" ht="14.25" customHeight="1" x14ac:dyDescent="0.3"/>
    <row r="832" ht="14.25" customHeight="1" x14ac:dyDescent="0.3"/>
    <row r="833" ht="14.25" customHeight="1" x14ac:dyDescent="0.3"/>
    <row r="834" ht="14.25" customHeight="1" x14ac:dyDescent="0.3"/>
    <row r="835" ht="14.25" customHeight="1" x14ac:dyDescent="0.3"/>
    <row r="836" ht="14.25" customHeight="1" x14ac:dyDescent="0.3"/>
    <row r="837" ht="14.25" customHeight="1" x14ac:dyDescent="0.3"/>
    <row r="838" ht="14.25" customHeight="1" x14ac:dyDescent="0.3"/>
    <row r="839" ht="14.25" customHeight="1" x14ac:dyDescent="0.3"/>
    <row r="840" ht="14.25" customHeight="1" x14ac:dyDescent="0.3"/>
    <row r="841" ht="14.25" customHeight="1" x14ac:dyDescent="0.3"/>
    <row r="842" ht="14.25" customHeight="1" x14ac:dyDescent="0.3"/>
    <row r="843" ht="14.25" customHeight="1" x14ac:dyDescent="0.3"/>
    <row r="844" ht="14.25" customHeight="1" x14ac:dyDescent="0.3"/>
    <row r="845" ht="14.25" customHeight="1" x14ac:dyDescent="0.3"/>
    <row r="846" ht="14.25" customHeight="1" x14ac:dyDescent="0.3"/>
    <row r="847" ht="14.25" customHeight="1" x14ac:dyDescent="0.3"/>
    <row r="848" ht="14.25" customHeight="1" x14ac:dyDescent="0.3"/>
    <row r="849" ht="14.25" customHeight="1" x14ac:dyDescent="0.3"/>
    <row r="850" ht="14.25" customHeight="1" x14ac:dyDescent="0.3"/>
    <row r="851" ht="14.25" customHeight="1" x14ac:dyDescent="0.3"/>
    <row r="852" ht="14.25" customHeight="1" x14ac:dyDescent="0.3"/>
    <row r="853" ht="14.25" customHeight="1" x14ac:dyDescent="0.3"/>
    <row r="854" ht="14.25" customHeight="1" x14ac:dyDescent="0.3"/>
    <row r="855" ht="14.25" customHeight="1" x14ac:dyDescent="0.3"/>
    <row r="856" ht="14.25" customHeight="1" x14ac:dyDescent="0.3"/>
    <row r="857" ht="14.25" customHeight="1" x14ac:dyDescent="0.3"/>
    <row r="858" ht="14.25" customHeight="1" x14ac:dyDescent="0.3"/>
    <row r="859" ht="14.25" customHeight="1" x14ac:dyDescent="0.3"/>
    <row r="860" ht="14.25" customHeight="1" x14ac:dyDescent="0.3"/>
    <row r="861" ht="14.25" customHeight="1" x14ac:dyDescent="0.3"/>
    <row r="862" ht="14.25" customHeight="1" x14ac:dyDescent="0.3"/>
    <row r="863" ht="14.25" customHeight="1" x14ac:dyDescent="0.3"/>
    <row r="864" ht="14.25" customHeight="1" x14ac:dyDescent="0.3"/>
    <row r="865" ht="14.25" customHeight="1" x14ac:dyDescent="0.3"/>
    <row r="866" ht="14.25" customHeight="1" x14ac:dyDescent="0.3"/>
    <row r="867" ht="14.25" customHeight="1" x14ac:dyDescent="0.3"/>
    <row r="868" ht="14.25" customHeight="1" x14ac:dyDescent="0.3"/>
    <row r="869" ht="14.25" customHeight="1" x14ac:dyDescent="0.3"/>
    <row r="870" ht="14.25" customHeight="1" x14ac:dyDescent="0.3"/>
    <row r="871" ht="14.25" customHeight="1" x14ac:dyDescent="0.3"/>
    <row r="872" ht="14.25" customHeight="1" x14ac:dyDescent="0.3"/>
    <row r="873" ht="14.25" customHeight="1" x14ac:dyDescent="0.3"/>
    <row r="874" ht="14.25" customHeight="1" x14ac:dyDescent="0.3"/>
    <row r="875" ht="14.25" customHeight="1" x14ac:dyDescent="0.3"/>
    <row r="876" ht="14.25" customHeight="1" x14ac:dyDescent="0.3"/>
    <row r="877" ht="14.25" customHeight="1" x14ac:dyDescent="0.3"/>
    <row r="878" ht="14.25" customHeight="1" x14ac:dyDescent="0.3"/>
    <row r="879" ht="14.25" customHeight="1" x14ac:dyDescent="0.3"/>
    <row r="880" ht="14.25" customHeight="1" x14ac:dyDescent="0.3"/>
    <row r="881" ht="14.25" customHeight="1" x14ac:dyDescent="0.3"/>
    <row r="882" ht="14.25" customHeight="1" x14ac:dyDescent="0.3"/>
    <row r="883" ht="14.25" customHeight="1" x14ac:dyDescent="0.3"/>
    <row r="884" ht="14.25" customHeight="1" x14ac:dyDescent="0.3"/>
    <row r="885" ht="14.25" customHeight="1" x14ac:dyDescent="0.3"/>
    <row r="886" ht="14.25" customHeight="1" x14ac:dyDescent="0.3"/>
    <row r="887" ht="14.25" customHeight="1" x14ac:dyDescent="0.3"/>
    <row r="888" ht="14.25" customHeight="1" x14ac:dyDescent="0.3"/>
    <row r="889" ht="14.25" customHeight="1" x14ac:dyDescent="0.3"/>
    <row r="890" ht="14.25" customHeight="1" x14ac:dyDescent="0.3"/>
    <row r="891" ht="14.25" customHeight="1" x14ac:dyDescent="0.3"/>
    <row r="892" ht="14.25" customHeight="1" x14ac:dyDescent="0.3"/>
    <row r="893" ht="14.25" customHeight="1" x14ac:dyDescent="0.3"/>
    <row r="894" ht="14.25" customHeight="1" x14ac:dyDescent="0.3"/>
    <row r="895" ht="14.25" customHeight="1" x14ac:dyDescent="0.3"/>
    <row r="896" ht="14.25" customHeight="1" x14ac:dyDescent="0.3"/>
    <row r="897" ht="14.25" customHeight="1" x14ac:dyDescent="0.3"/>
    <row r="898" ht="14.25" customHeight="1" x14ac:dyDescent="0.3"/>
    <row r="899" ht="14.25" customHeight="1" x14ac:dyDescent="0.3"/>
    <row r="900" ht="14.25" customHeight="1" x14ac:dyDescent="0.3"/>
    <row r="901" ht="14.25" customHeight="1" x14ac:dyDescent="0.3"/>
    <row r="902" ht="14.25" customHeight="1" x14ac:dyDescent="0.3"/>
    <row r="903" ht="14.25" customHeight="1" x14ac:dyDescent="0.3"/>
    <row r="904" ht="14.25" customHeight="1" x14ac:dyDescent="0.3"/>
    <row r="905" ht="14.25" customHeight="1" x14ac:dyDescent="0.3"/>
    <row r="906" ht="14.25" customHeight="1" x14ac:dyDescent="0.3"/>
    <row r="907" ht="14.25" customHeight="1" x14ac:dyDescent="0.3"/>
    <row r="908" ht="14.25" customHeight="1" x14ac:dyDescent="0.3"/>
    <row r="909" ht="14.25" customHeight="1" x14ac:dyDescent="0.3"/>
    <row r="910" ht="14.25" customHeight="1" x14ac:dyDescent="0.3"/>
    <row r="911" ht="14.25" customHeight="1" x14ac:dyDescent="0.3"/>
    <row r="912" ht="14.25" customHeight="1" x14ac:dyDescent="0.3"/>
    <row r="913" ht="14.25" customHeight="1" x14ac:dyDescent="0.3"/>
    <row r="914" ht="14.25" customHeight="1" x14ac:dyDescent="0.3"/>
    <row r="915" ht="14.25" customHeight="1" x14ac:dyDescent="0.3"/>
    <row r="916" ht="14.25" customHeight="1" x14ac:dyDescent="0.3"/>
    <row r="917" ht="14.25" customHeight="1" x14ac:dyDescent="0.3"/>
    <row r="918" ht="14.25" customHeight="1" x14ac:dyDescent="0.3"/>
    <row r="919" ht="14.25" customHeight="1" x14ac:dyDescent="0.3"/>
    <row r="920" ht="14.25" customHeight="1" x14ac:dyDescent="0.3"/>
    <row r="921" ht="14.25" customHeight="1" x14ac:dyDescent="0.3"/>
    <row r="922" ht="14.25" customHeight="1" x14ac:dyDescent="0.3"/>
    <row r="923" ht="14.25" customHeight="1" x14ac:dyDescent="0.3"/>
    <row r="924" ht="14.25" customHeight="1" x14ac:dyDescent="0.3"/>
    <row r="925" ht="14.25" customHeight="1" x14ac:dyDescent="0.3"/>
    <row r="926" ht="14.25" customHeight="1" x14ac:dyDescent="0.3"/>
    <row r="927" ht="14.25" customHeight="1" x14ac:dyDescent="0.3"/>
    <row r="928" ht="14.25" customHeight="1" x14ac:dyDescent="0.3"/>
    <row r="929" ht="14.25" customHeight="1" x14ac:dyDescent="0.3"/>
    <row r="930" ht="14.25" customHeight="1" x14ac:dyDescent="0.3"/>
    <row r="931" ht="14.25" customHeight="1" x14ac:dyDescent="0.3"/>
    <row r="932" ht="14.25" customHeight="1" x14ac:dyDescent="0.3"/>
    <row r="933" ht="14.25" customHeight="1" x14ac:dyDescent="0.3"/>
    <row r="934" ht="14.25" customHeight="1" x14ac:dyDescent="0.3"/>
    <row r="935" ht="14.25" customHeight="1" x14ac:dyDescent="0.3"/>
    <row r="936" ht="14.25" customHeight="1" x14ac:dyDescent="0.3"/>
    <row r="937" ht="14.25" customHeight="1" x14ac:dyDescent="0.3"/>
    <row r="938" ht="14.25" customHeight="1" x14ac:dyDescent="0.3"/>
    <row r="939" ht="14.25" customHeight="1" x14ac:dyDescent="0.3"/>
    <row r="940" ht="14.25" customHeight="1" x14ac:dyDescent="0.3"/>
    <row r="941" ht="14.25" customHeight="1" x14ac:dyDescent="0.3"/>
    <row r="942" ht="14.25" customHeight="1" x14ac:dyDescent="0.3"/>
    <row r="943" ht="14.25" customHeight="1" x14ac:dyDescent="0.3"/>
    <row r="944" ht="14.25" customHeight="1" x14ac:dyDescent="0.3"/>
    <row r="945" ht="14.25" customHeight="1" x14ac:dyDescent="0.3"/>
    <row r="946" ht="14.25" customHeight="1" x14ac:dyDescent="0.3"/>
    <row r="947" ht="14.25" customHeight="1" x14ac:dyDescent="0.3"/>
    <row r="948" ht="14.25" customHeight="1" x14ac:dyDescent="0.3"/>
    <row r="949" ht="14.25" customHeight="1" x14ac:dyDescent="0.3"/>
    <row r="950" ht="14.25" customHeight="1" x14ac:dyDescent="0.3"/>
    <row r="951" ht="14.25" customHeight="1" x14ac:dyDescent="0.3"/>
    <row r="952" ht="14.25" customHeight="1" x14ac:dyDescent="0.3"/>
    <row r="953" ht="14.25" customHeight="1" x14ac:dyDescent="0.3"/>
    <row r="954" ht="14.25" customHeight="1" x14ac:dyDescent="0.3"/>
    <row r="955" ht="14.25" customHeight="1" x14ac:dyDescent="0.3"/>
    <row r="956" ht="14.25" customHeight="1" x14ac:dyDescent="0.3"/>
    <row r="957" ht="14.25" customHeight="1" x14ac:dyDescent="0.3"/>
    <row r="958" ht="14.25" customHeight="1" x14ac:dyDescent="0.3"/>
    <row r="959" ht="14.25" customHeight="1" x14ac:dyDescent="0.3"/>
    <row r="960" ht="14.25" customHeight="1" x14ac:dyDescent="0.3"/>
    <row r="961" ht="14.25" customHeight="1" x14ac:dyDescent="0.3"/>
    <row r="962" ht="14.25" customHeight="1" x14ac:dyDescent="0.3"/>
    <row r="963" ht="14.25" customHeight="1" x14ac:dyDescent="0.3"/>
    <row r="964" ht="14.25" customHeight="1" x14ac:dyDescent="0.3"/>
    <row r="965" ht="14.25" customHeight="1" x14ac:dyDescent="0.3"/>
    <row r="966" ht="14.25" customHeight="1" x14ac:dyDescent="0.3"/>
    <row r="967" ht="14.25" customHeight="1" x14ac:dyDescent="0.3"/>
    <row r="968" ht="14.25" customHeight="1" x14ac:dyDescent="0.3"/>
    <row r="969" ht="14.25" customHeight="1" x14ac:dyDescent="0.3"/>
    <row r="970" ht="14.25" customHeight="1" x14ac:dyDescent="0.3"/>
    <row r="971" ht="14.25" customHeight="1" x14ac:dyDescent="0.3"/>
    <row r="972" ht="14.25" customHeight="1" x14ac:dyDescent="0.3"/>
    <row r="973" ht="14.25" customHeight="1" x14ac:dyDescent="0.3"/>
    <row r="974" ht="14.25" customHeight="1" x14ac:dyDescent="0.3"/>
    <row r="975" ht="14.25" customHeight="1" x14ac:dyDescent="0.3"/>
    <row r="976" ht="14.25" customHeight="1" x14ac:dyDescent="0.3"/>
    <row r="977" ht="14.25" customHeight="1" x14ac:dyDescent="0.3"/>
    <row r="978" ht="14.25" customHeight="1" x14ac:dyDescent="0.3"/>
    <row r="979" ht="14.25" customHeight="1" x14ac:dyDescent="0.3"/>
    <row r="980" ht="14.25" customHeight="1" x14ac:dyDescent="0.3"/>
    <row r="981" ht="14.25" customHeight="1" x14ac:dyDescent="0.3"/>
    <row r="982" ht="14.25" customHeight="1" x14ac:dyDescent="0.3"/>
    <row r="983" ht="14.25" customHeight="1" x14ac:dyDescent="0.3"/>
    <row r="984" ht="14.25" customHeight="1" x14ac:dyDescent="0.3"/>
    <row r="985" ht="14.25" customHeight="1" x14ac:dyDescent="0.3"/>
    <row r="986" ht="14.25" customHeight="1" x14ac:dyDescent="0.3"/>
    <row r="987" ht="14.25" customHeight="1" x14ac:dyDescent="0.3"/>
    <row r="988" ht="14.25" customHeight="1" x14ac:dyDescent="0.3"/>
    <row r="989" ht="14.25" customHeight="1" x14ac:dyDescent="0.3"/>
    <row r="990" ht="14.25" customHeight="1" x14ac:dyDescent="0.3"/>
    <row r="991" ht="14.25" customHeight="1" x14ac:dyDescent="0.3"/>
    <row r="992" ht="14.25" customHeight="1" x14ac:dyDescent="0.3"/>
    <row r="993" ht="14.25" customHeight="1" x14ac:dyDescent="0.3"/>
    <row r="994" ht="14.25" customHeight="1" x14ac:dyDescent="0.3"/>
    <row r="995" ht="14.25" customHeight="1" x14ac:dyDescent="0.3"/>
    <row r="996" ht="14.25" customHeight="1" x14ac:dyDescent="0.3"/>
    <row r="997" ht="14.25" customHeight="1" x14ac:dyDescent="0.3"/>
    <row r="998" ht="14.25" customHeight="1" x14ac:dyDescent="0.3"/>
    <row r="999" ht="14.25" customHeight="1" x14ac:dyDescent="0.3"/>
    <row r="1000" ht="14.25" customHeight="1" x14ac:dyDescent="0.3"/>
  </sheetData>
  <mergeCells count="17">
    <mergeCell ref="M4:O4"/>
    <mergeCell ref="T7:Y7"/>
    <mergeCell ref="T8:Y8"/>
    <mergeCell ref="I10:L10"/>
    <mergeCell ref="O11:U11"/>
    <mergeCell ref="O13:U13"/>
    <mergeCell ref="Q14:V14"/>
    <mergeCell ref="Q22:T22"/>
    <mergeCell ref="O25:U25"/>
    <mergeCell ref="Q26:S26"/>
    <mergeCell ref="O15:U15"/>
    <mergeCell ref="Q16:U16"/>
    <mergeCell ref="I18:K18"/>
    <mergeCell ref="Q18:U18"/>
    <mergeCell ref="O19:V19"/>
    <mergeCell ref="Q20:V20"/>
    <mergeCell ref="O21:U21"/>
  </mergeCells>
  <pageMargins left="0.7" right="0.7" top="0.75" bottom="0.75" header="0" footer="0"/>
  <pageSetup orientation="landscape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R1000"/>
  <sheetViews>
    <sheetView workbookViewId="0">
      <selection activeCell="J19" sqref="J19:P19"/>
    </sheetView>
  </sheetViews>
  <sheetFormatPr defaultColWidth="14.44140625" defaultRowHeight="15" customHeight="1" x14ac:dyDescent="0.3"/>
  <cols>
    <col min="1" max="10" width="8.6640625" customWidth="1"/>
    <col min="11" max="11" width="13.6640625" customWidth="1"/>
    <col min="12" max="26" width="8.6640625" customWidth="1"/>
  </cols>
  <sheetData>
    <row r="1" spans="1:16" ht="14.25" customHeight="1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</row>
    <row r="2" spans="1:16" ht="14.25" customHeight="1" x14ac:dyDescent="0.3">
      <c r="A2" s="2">
        <v>121</v>
      </c>
      <c r="B2" s="2" t="s">
        <v>7</v>
      </c>
      <c r="C2" s="2" t="s">
        <v>8</v>
      </c>
      <c r="D2" s="2">
        <v>22</v>
      </c>
      <c r="E2" s="2" t="s">
        <v>9</v>
      </c>
      <c r="F2" s="2" t="s">
        <v>10</v>
      </c>
      <c r="G2" s="2">
        <v>55</v>
      </c>
      <c r="J2" s="12" t="s">
        <v>93</v>
      </c>
    </row>
    <row r="3" spans="1:16" ht="14.25" customHeight="1" x14ac:dyDescent="0.3">
      <c r="A3" s="2">
        <v>122</v>
      </c>
      <c r="B3" s="2" t="s">
        <v>12</v>
      </c>
      <c r="C3" s="2" t="s">
        <v>13</v>
      </c>
      <c r="D3" s="2">
        <v>23</v>
      </c>
      <c r="E3" s="2" t="s">
        <v>14</v>
      </c>
      <c r="F3" s="2" t="s">
        <v>15</v>
      </c>
      <c r="G3" s="2">
        <v>63</v>
      </c>
      <c r="J3" s="29" t="s">
        <v>101</v>
      </c>
      <c r="K3" s="30"/>
      <c r="L3" s="31"/>
    </row>
    <row r="4" spans="1:16" ht="14.25" customHeight="1" x14ac:dyDescent="0.3">
      <c r="A4" s="2">
        <v>123</v>
      </c>
      <c r="B4" s="2" t="s">
        <v>19</v>
      </c>
      <c r="C4" s="2" t="s">
        <v>20</v>
      </c>
      <c r="D4" s="2">
        <v>24</v>
      </c>
      <c r="E4" s="2" t="s">
        <v>21</v>
      </c>
      <c r="F4" s="2" t="s">
        <v>22</v>
      </c>
      <c r="G4" s="2">
        <v>71</v>
      </c>
      <c r="J4" s="8" t="s">
        <v>78</v>
      </c>
      <c r="K4" s="8" t="s">
        <v>102</v>
      </c>
      <c r="L4" s="32" t="s">
        <v>103</v>
      </c>
      <c r="M4" s="33"/>
    </row>
    <row r="5" spans="1:16" ht="14.25" customHeight="1" x14ac:dyDescent="0.3">
      <c r="A5" s="2">
        <v>124</v>
      </c>
      <c r="B5" s="2" t="s">
        <v>25</v>
      </c>
      <c r="C5" s="2" t="s">
        <v>26</v>
      </c>
      <c r="D5" s="2">
        <v>21</v>
      </c>
      <c r="E5" s="2" t="s">
        <v>14</v>
      </c>
      <c r="F5" s="2" t="s">
        <v>27</v>
      </c>
      <c r="G5" s="2">
        <v>68</v>
      </c>
      <c r="J5" s="2" t="s">
        <v>10</v>
      </c>
      <c r="K5">
        <f>SUMIF(F2:F21,"Python",G2:G21)</f>
        <v>349</v>
      </c>
      <c r="L5" s="9" t="s">
        <v>126</v>
      </c>
      <c r="M5" s="9"/>
      <c r="N5" s="9"/>
      <c r="O5" s="9"/>
    </row>
    <row r="6" spans="1:16" ht="14.25" customHeight="1" x14ac:dyDescent="0.3">
      <c r="A6" s="2">
        <v>125</v>
      </c>
      <c r="B6" s="2" t="s">
        <v>30</v>
      </c>
      <c r="C6" s="2" t="s">
        <v>31</v>
      </c>
      <c r="D6" s="2">
        <v>25</v>
      </c>
      <c r="E6" s="2" t="s">
        <v>32</v>
      </c>
      <c r="F6" s="2" t="s">
        <v>22</v>
      </c>
      <c r="G6" s="2">
        <v>74</v>
      </c>
      <c r="J6" s="2" t="s">
        <v>27</v>
      </c>
      <c r="K6">
        <f>SUMIF(F2:F21,"ML",G2:G21)</f>
        <v>398</v>
      </c>
      <c r="L6" s="9" t="s">
        <v>127</v>
      </c>
      <c r="M6" s="13"/>
      <c r="N6" s="13"/>
      <c r="O6" s="13"/>
    </row>
    <row r="7" spans="1:16" ht="14.25" customHeight="1" x14ac:dyDescent="0.3">
      <c r="A7" s="2">
        <v>126</v>
      </c>
      <c r="B7" s="2" t="s">
        <v>35</v>
      </c>
      <c r="C7" s="2" t="s">
        <v>36</v>
      </c>
      <c r="D7" s="2">
        <v>24</v>
      </c>
      <c r="E7" s="2" t="s">
        <v>9</v>
      </c>
      <c r="F7" s="2" t="s">
        <v>27</v>
      </c>
      <c r="G7" s="2">
        <v>81</v>
      </c>
      <c r="J7" s="2" t="s">
        <v>53</v>
      </c>
      <c r="K7">
        <f>SUMIF(F2:F21,"Power BI",G2:G21)</f>
        <v>165</v>
      </c>
      <c r="L7" s="9" t="s">
        <v>128</v>
      </c>
      <c r="M7" s="13"/>
      <c r="N7" s="13"/>
      <c r="O7" s="13"/>
    </row>
    <row r="8" spans="1:16" ht="14.25" customHeight="1" x14ac:dyDescent="0.3">
      <c r="A8" s="2">
        <v>127</v>
      </c>
      <c r="B8" s="2" t="s">
        <v>39</v>
      </c>
      <c r="C8" s="2" t="s">
        <v>40</v>
      </c>
      <c r="D8" s="2">
        <v>23</v>
      </c>
      <c r="E8" s="2" t="s">
        <v>14</v>
      </c>
      <c r="F8" s="2" t="s">
        <v>10</v>
      </c>
      <c r="G8" s="2">
        <v>83</v>
      </c>
      <c r="J8" s="2" t="s">
        <v>22</v>
      </c>
      <c r="K8">
        <f>SUMIF(F2:F21,"SQL",G2:G21)</f>
        <v>308</v>
      </c>
      <c r="L8" s="9" t="s">
        <v>129</v>
      </c>
      <c r="M8" s="13"/>
      <c r="N8" s="13"/>
      <c r="O8" s="13"/>
    </row>
    <row r="9" spans="1:16" ht="14.25" customHeight="1" x14ac:dyDescent="0.3">
      <c r="A9" s="2">
        <v>128</v>
      </c>
      <c r="B9" s="2" t="s">
        <v>44</v>
      </c>
      <c r="C9" s="2" t="s">
        <v>20</v>
      </c>
      <c r="D9" s="2">
        <v>24</v>
      </c>
      <c r="E9" s="2" t="s">
        <v>32</v>
      </c>
      <c r="F9" s="2" t="s">
        <v>15</v>
      </c>
      <c r="G9" s="2">
        <v>80</v>
      </c>
      <c r="J9" s="2" t="s">
        <v>15</v>
      </c>
      <c r="K9">
        <f>SUMIF(F2:F21,"Tableau",G2:G21)</f>
        <v>222</v>
      </c>
      <c r="L9" s="9" t="s">
        <v>130</v>
      </c>
      <c r="M9" s="13"/>
      <c r="N9" s="13"/>
      <c r="O9" s="13"/>
    </row>
    <row r="10" spans="1:16" ht="14.25" customHeight="1" x14ac:dyDescent="0.3">
      <c r="A10" s="2">
        <v>129</v>
      </c>
      <c r="B10" s="2" t="s">
        <v>51</v>
      </c>
      <c r="C10" s="2" t="s">
        <v>52</v>
      </c>
      <c r="D10" s="2">
        <v>25</v>
      </c>
      <c r="E10" s="2" t="s">
        <v>21</v>
      </c>
      <c r="F10" s="2" t="s">
        <v>53</v>
      </c>
      <c r="G10" s="2">
        <v>74</v>
      </c>
    </row>
    <row r="11" spans="1:16" ht="14.25" customHeight="1" x14ac:dyDescent="0.3">
      <c r="A11" s="2">
        <v>130</v>
      </c>
      <c r="B11" s="2" t="s">
        <v>57</v>
      </c>
      <c r="D11" s="2">
        <v>27</v>
      </c>
      <c r="E11" s="2" t="s">
        <v>14</v>
      </c>
      <c r="F11" s="2" t="s">
        <v>27</v>
      </c>
      <c r="G11" s="2">
        <v>47</v>
      </c>
    </row>
    <row r="12" spans="1:16" ht="14.25" customHeight="1" x14ac:dyDescent="0.3">
      <c r="A12" s="2">
        <v>131</v>
      </c>
      <c r="B12" s="2" t="s">
        <v>61</v>
      </c>
      <c r="C12" s="2" t="s">
        <v>8</v>
      </c>
      <c r="D12" s="2">
        <v>28</v>
      </c>
      <c r="E12" s="2" t="s">
        <v>21</v>
      </c>
      <c r="F12" s="2" t="s">
        <v>53</v>
      </c>
      <c r="G12" s="2">
        <v>91</v>
      </c>
      <c r="J12" s="6" t="s">
        <v>94</v>
      </c>
      <c r="K12" s="2" t="s">
        <v>104</v>
      </c>
    </row>
    <row r="13" spans="1:16" ht="14.25" customHeight="1" x14ac:dyDescent="0.3">
      <c r="A13" s="2">
        <v>132</v>
      </c>
      <c r="B13" s="2" t="s">
        <v>62</v>
      </c>
      <c r="C13" s="2" t="s">
        <v>63</v>
      </c>
      <c r="D13" s="2">
        <v>26</v>
      </c>
      <c r="E13" s="2" t="s">
        <v>32</v>
      </c>
      <c r="F13" s="2" t="s">
        <v>27</v>
      </c>
      <c r="G13" s="2">
        <v>72</v>
      </c>
      <c r="J13" s="28" t="s">
        <v>105</v>
      </c>
      <c r="K13" s="19"/>
      <c r="L13" s="19"/>
      <c r="M13" s="19"/>
      <c r="N13" s="19"/>
      <c r="O13" s="19"/>
      <c r="P13" s="20"/>
    </row>
    <row r="14" spans="1:16" ht="14.25" customHeight="1" x14ac:dyDescent="0.3">
      <c r="A14" s="2">
        <v>133</v>
      </c>
      <c r="B14" s="2" t="s">
        <v>65</v>
      </c>
      <c r="C14" s="2" t="s">
        <v>66</v>
      </c>
      <c r="D14" s="2">
        <v>23</v>
      </c>
      <c r="E14" s="2" t="s">
        <v>9</v>
      </c>
      <c r="F14" s="2" t="s">
        <v>22</v>
      </c>
      <c r="G14" s="2">
        <v>87</v>
      </c>
      <c r="L14" s="21">
        <f>SUMIFS(G2:G21,E2:E21,"Mumbai")</f>
        <v>317</v>
      </c>
      <c r="M14" s="19"/>
      <c r="N14" s="19"/>
      <c r="O14" s="19"/>
      <c r="P14" s="20"/>
    </row>
    <row r="15" spans="1:16" ht="14.25" customHeight="1" x14ac:dyDescent="0.3">
      <c r="A15" s="2">
        <v>134</v>
      </c>
      <c r="B15" s="2" t="s">
        <v>67</v>
      </c>
      <c r="C15" s="2" t="s">
        <v>68</v>
      </c>
      <c r="D15" s="2">
        <v>22</v>
      </c>
      <c r="E15" s="2" t="s">
        <v>21</v>
      </c>
      <c r="F15" s="2" t="s">
        <v>15</v>
      </c>
      <c r="G15" s="2">
        <v>79</v>
      </c>
      <c r="J15" s="28" t="s">
        <v>106</v>
      </c>
      <c r="K15" s="19"/>
      <c r="L15" s="19"/>
      <c r="M15" s="19"/>
      <c r="N15" s="19"/>
      <c r="O15" s="19"/>
      <c r="P15" s="20"/>
    </row>
    <row r="16" spans="1:16" ht="14.25" customHeight="1" x14ac:dyDescent="0.3">
      <c r="A16" s="2">
        <v>135</v>
      </c>
      <c r="B16" s="2" t="s">
        <v>71</v>
      </c>
      <c r="D16" s="2">
        <v>24</v>
      </c>
      <c r="E16" s="2" t="s">
        <v>9</v>
      </c>
      <c r="F16" s="2" t="s">
        <v>27</v>
      </c>
      <c r="G16" s="2">
        <v>81</v>
      </c>
      <c r="L16" s="21">
        <f>SUMIFS(G2:G21,E2:E21,"Pune",G2:G21,"&lt;80")</f>
        <v>149</v>
      </c>
      <c r="M16" s="19"/>
      <c r="N16" s="19"/>
      <c r="O16" s="19"/>
      <c r="P16" s="20"/>
    </row>
    <row r="17" spans="1:18" ht="14.25" customHeight="1" x14ac:dyDescent="0.3">
      <c r="A17" s="2">
        <v>136</v>
      </c>
      <c r="B17" s="2" t="s">
        <v>72</v>
      </c>
      <c r="C17" s="2" t="s">
        <v>73</v>
      </c>
      <c r="D17" s="2">
        <v>25</v>
      </c>
      <c r="E17" s="2" t="s">
        <v>14</v>
      </c>
      <c r="F17" s="2" t="s">
        <v>10</v>
      </c>
      <c r="G17" s="2">
        <v>56</v>
      </c>
      <c r="J17" s="28" t="s">
        <v>107</v>
      </c>
      <c r="K17" s="19"/>
      <c r="L17" s="19"/>
      <c r="M17" s="19"/>
      <c r="N17" s="19"/>
      <c r="O17" s="19"/>
      <c r="P17" s="20"/>
    </row>
    <row r="18" spans="1:18" ht="14.25" customHeight="1" x14ac:dyDescent="0.3">
      <c r="A18" s="2">
        <v>137</v>
      </c>
      <c r="B18" s="2" t="s">
        <v>75</v>
      </c>
      <c r="C18" s="2" t="s">
        <v>63</v>
      </c>
      <c r="D18" s="2">
        <v>21</v>
      </c>
      <c r="E18" s="2" t="s">
        <v>32</v>
      </c>
      <c r="F18" s="2" t="s">
        <v>27</v>
      </c>
      <c r="G18" s="2">
        <v>49</v>
      </c>
      <c r="L18" s="21">
        <f>SUMIFS(G2:G21,C2:C21,"*a",F2:F21,"ML")</f>
        <v>68</v>
      </c>
      <c r="M18" s="19"/>
      <c r="N18" s="19"/>
      <c r="O18" s="19"/>
      <c r="P18" s="20"/>
    </row>
    <row r="19" spans="1:18" ht="14.25" customHeight="1" x14ac:dyDescent="0.3">
      <c r="A19" s="2">
        <v>138</v>
      </c>
      <c r="B19" s="2" t="s">
        <v>77</v>
      </c>
      <c r="C19" s="2" t="s">
        <v>8</v>
      </c>
      <c r="D19" s="2">
        <v>26</v>
      </c>
      <c r="E19" s="2" t="s">
        <v>69</v>
      </c>
      <c r="F19" s="2" t="s">
        <v>10</v>
      </c>
      <c r="G19" s="2">
        <v>73</v>
      </c>
      <c r="J19" s="28" t="s">
        <v>108</v>
      </c>
      <c r="K19" s="19"/>
      <c r="L19" s="19"/>
      <c r="M19" s="19"/>
      <c r="N19" s="19"/>
      <c r="O19" s="19"/>
      <c r="P19" s="20"/>
    </row>
    <row r="20" spans="1:18" ht="14.25" customHeight="1" x14ac:dyDescent="0.3">
      <c r="A20" s="2">
        <v>139</v>
      </c>
      <c r="B20" s="2" t="s">
        <v>81</v>
      </c>
      <c r="C20" s="2" t="s">
        <v>13</v>
      </c>
      <c r="D20" s="2">
        <v>24</v>
      </c>
      <c r="E20" s="2" t="s">
        <v>69</v>
      </c>
      <c r="F20" s="2" t="s">
        <v>22</v>
      </c>
      <c r="G20" s="2">
        <v>76</v>
      </c>
      <c r="L20" s="21"/>
      <c r="M20" s="19"/>
      <c r="N20" s="19"/>
      <c r="O20" s="19"/>
      <c r="P20" s="19"/>
      <c r="Q20" s="19"/>
      <c r="R20" s="20"/>
    </row>
    <row r="21" spans="1:18" ht="14.25" customHeight="1" x14ac:dyDescent="0.3">
      <c r="A21" s="2">
        <v>140</v>
      </c>
      <c r="B21" s="2" t="s">
        <v>82</v>
      </c>
      <c r="C21" s="2" t="s">
        <v>8</v>
      </c>
      <c r="D21" s="2">
        <v>23</v>
      </c>
      <c r="E21" s="2" t="s">
        <v>21</v>
      </c>
      <c r="F21" s="2" t="s">
        <v>10</v>
      </c>
      <c r="G21" s="2">
        <v>82</v>
      </c>
    </row>
    <row r="22" spans="1:18" ht="14.25" customHeight="1" x14ac:dyDescent="0.3">
      <c r="H22" s="23"/>
      <c r="I22" s="20"/>
    </row>
    <row r="23" spans="1:18" ht="14.25" customHeight="1" x14ac:dyDescent="0.3"/>
    <row r="24" spans="1:18" ht="14.25" customHeight="1" x14ac:dyDescent="0.3"/>
    <row r="25" spans="1:18" ht="14.25" customHeight="1" x14ac:dyDescent="0.3"/>
    <row r="26" spans="1:18" ht="14.25" customHeight="1" x14ac:dyDescent="0.3"/>
    <row r="27" spans="1:18" ht="14.25" customHeight="1" x14ac:dyDescent="0.3"/>
    <row r="28" spans="1:18" ht="14.25" customHeight="1" x14ac:dyDescent="0.3"/>
    <row r="29" spans="1:18" ht="14.25" customHeight="1" x14ac:dyDescent="0.3"/>
    <row r="30" spans="1:18" ht="14.25" customHeight="1" x14ac:dyDescent="0.3"/>
    <row r="31" spans="1:18" ht="14.25" customHeight="1" x14ac:dyDescent="0.3"/>
    <row r="32" spans="1:18" ht="14.25" customHeight="1" x14ac:dyDescent="0.3"/>
    <row r="33" ht="14.25" customHeight="1" x14ac:dyDescent="0.3"/>
    <row r="34" ht="14.25" customHeight="1" x14ac:dyDescent="0.3"/>
    <row r="35" ht="14.25" customHeight="1" x14ac:dyDescent="0.3"/>
    <row r="36" ht="14.25" customHeight="1" x14ac:dyDescent="0.3"/>
    <row r="37" ht="14.25" customHeight="1" x14ac:dyDescent="0.3"/>
    <row r="38" ht="14.25" customHeight="1" x14ac:dyDescent="0.3"/>
    <row r="39" ht="14.25" customHeight="1" x14ac:dyDescent="0.3"/>
    <row r="40" ht="14.25" customHeight="1" x14ac:dyDescent="0.3"/>
    <row r="41" ht="14.25" customHeight="1" x14ac:dyDescent="0.3"/>
    <row r="42" ht="14.25" customHeight="1" x14ac:dyDescent="0.3"/>
    <row r="43" ht="14.25" customHeight="1" x14ac:dyDescent="0.3"/>
    <row r="44" ht="14.25" customHeight="1" x14ac:dyDescent="0.3"/>
    <row r="45" ht="14.25" customHeight="1" x14ac:dyDescent="0.3"/>
    <row r="46" ht="14.25" customHeight="1" x14ac:dyDescent="0.3"/>
    <row r="47" ht="14.25" customHeight="1" x14ac:dyDescent="0.3"/>
    <row r="48" ht="14.25" customHeight="1" x14ac:dyDescent="0.3"/>
    <row r="49" ht="14.25" customHeight="1" x14ac:dyDescent="0.3"/>
    <row r="50" ht="14.25" customHeight="1" x14ac:dyDescent="0.3"/>
    <row r="51" ht="14.25" customHeight="1" x14ac:dyDescent="0.3"/>
    <row r="52" ht="14.25" customHeight="1" x14ac:dyDescent="0.3"/>
    <row r="53" ht="14.25" customHeight="1" x14ac:dyDescent="0.3"/>
    <row r="54" ht="14.25" customHeight="1" x14ac:dyDescent="0.3"/>
    <row r="55" ht="14.25" customHeight="1" x14ac:dyDescent="0.3"/>
    <row r="56" ht="14.25" customHeight="1" x14ac:dyDescent="0.3"/>
    <row r="57" ht="14.25" customHeight="1" x14ac:dyDescent="0.3"/>
    <row r="58" ht="14.25" customHeight="1" x14ac:dyDescent="0.3"/>
    <row r="59" ht="14.25" customHeight="1" x14ac:dyDescent="0.3"/>
    <row r="60" ht="14.25" customHeight="1" x14ac:dyDescent="0.3"/>
    <row r="61" ht="14.25" customHeight="1" x14ac:dyDescent="0.3"/>
    <row r="62" ht="14.25" customHeight="1" x14ac:dyDescent="0.3"/>
    <row r="63" ht="14.25" customHeight="1" x14ac:dyDescent="0.3"/>
    <row r="64" ht="14.25" customHeight="1" x14ac:dyDescent="0.3"/>
    <row r="65" ht="14.25" customHeight="1" x14ac:dyDescent="0.3"/>
    <row r="66" ht="14.25" customHeight="1" x14ac:dyDescent="0.3"/>
    <row r="67" ht="14.25" customHeight="1" x14ac:dyDescent="0.3"/>
    <row r="68" ht="14.25" customHeight="1" x14ac:dyDescent="0.3"/>
    <row r="69" ht="14.25" customHeight="1" x14ac:dyDescent="0.3"/>
    <row r="70" ht="14.25" customHeight="1" x14ac:dyDescent="0.3"/>
    <row r="71" ht="14.25" customHeight="1" x14ac:dyDescent="0.3"/>
    <row r="72" ht="14.25" customHeight="1" x14ac:dyDescent="0.3"/>
    <row r="73" ht="14.25" customHeight="1" x14ac:dyDescent="0.3"/>
    <row r="74" ht="14.25" customHeight="1" x14ac:dyDescent="0.3"/>
    <row r="75" ht="14.25" customHeight="1" x14ac:dyDescent="0.3"/>
    <row r="76" ht="14.25" customHeight="1" x14ac:dyDescent="0.3"/>
    <row r="77" ht="14.25" customHeight="1" x14ac:dyDescent="0.3"/>
    <row r="78" ht="14.25" customHeight="1" x14ac:dyDescent="0.3"/>
    <row r="79" ht="14.25" customHeight="1" x14ac:dyDescent="0.3"/>
    <row r="80" ht="14.25" customHeight="1" x14ac:dyDescent="0.3"/>
    <row r="81" ht="14.25" customHeight="1" x14ac:dyDescent="0.3"/>
    <row r="82" ht="14.25" customHeight="1" x14ac:dyDescent="0.3"/>
    <row r="83" ht="14.25" customHeight="1" x14ac:dyDescent="0.3"/>
    <row r="84" ht="14.25" customHeight="1" x14ac:dyDescent="0.3"/>
    <row r="85" ht="14.25" customHeight="1" x14ac:dyDescent="0.3"/>
    <row r="86" ht="14.25" customHeight="1" x14ac:dyDescent="0.3"/>
    <row r="87" ht="14.25" customHeight="1" x14ac:dyDescent="0.3"/>
    <row r="88" ht="14.25" customHeight="1" x14ac:dyDescent="0.3"/>
    <row r="89" ht="14.25" customHeight="1" x14ac:dyDescent="0.3"/>
    <row r="90" ht="14.25" customHeight="1" x14ac:dyDescent="0.3"/>
    <row r="91" ht="14.25" customHeight="1" x14ac:dyDescent="0.3"/>
    <row r="92" ht="14.25" customHeight="1" x14ac:dyDescent="0.3"/>
    <row r="93" ht="14.25" customHeight="1" x14ac:dyDescent="0.3"/>
    <row r="94" ht="14.25" customHeight="1" x14ac:dyDescent="0.3"/>
    <row r="95" ht="14.25" customHeight="1" x14ac:dyDescent="0.3"/>
    <row r="96" ht="14.25" customHeight="1" x14ac:dyDescent="0.3"/>
    <row r="97" ht="14.25" customHeight="1" x14ac:dyDescent="0.3"/>
    <row r="98" ht="14.25" customHeight="1" x14ac:dyDescent="0.3"/>
    <row r="99" ht="14.25" customHeight="1" x14ac:dyDescent="0.3"/>
    <row r="100" ht="14.25" customHeight="1" x14ac:dyDescent="0.3"/>
    <row r="101" ht="14.25" customHeight="1" x14ac:dyDescent="0.3"/>
    <row r="102" ht="14.25" customHeight="1" x14ac:dyDescent="0.3"/>
    <row r="103" ht="14.25" customHeight="1" x14ac:dyDescent="0.3"/>
    <row r="104" ht="14.25" customHeight="1" x14ac:dyDescent="0.3"/>
    <row r="105" ht="14.25" customHeight="1" x14ac:dyDescent="0.3"/>
    <row r="106" ht="14.25" customHeight="1" x14ac:dyDescent="0.3"/>
    <row r="107" ht="14.25" customHeight="1" x14ac:dyDescent="0.3"/>
    <row r="108" ht="14.25" customHeight="1" x14ac:dyDescent="0.3"/>
    <row r="109" ht="14.25" customHeight="1" x14ac:dyDescent="0.3"/>
    <row r="110" ht="14.25" customHeight="1" x14ac:dyDescent="0.3"/>
    <row r="111" ht="14.25" customHeight="1" x14ac:dyDescent="0.3"/>
    <row r="112" ht="14.25" customHeight="1" x14ac:dyDescent="0.3"/>
    <row r="113" ht="14.25" customHeight="1" x14ac:dyDescent="0.3"/>
    <row r="114" ht="14.25" customHeight="1" x14ac:dyDescent="0.3"/>
    <row r="115" ht="14.25" customHeight="1" x14ac:dyDescent="0.3"/>
    <row r="116" ht="14.25" customHeight="1" x14ac:dyDescent="0.3"/>
    <row r="117" ht="14.25" customHeight="1" x14ac:dyDescent="0.3"/>
    <row r="118" ht="14.25" customHeight="1" x14ac:dyDescent="0.3"/>
    <row r="119" ht="14.25" customHeight="1" x14ac:dyDescent="0.3"/>
    <row r="120" ht="14.25" customHeight="1" x14ac:dyDescent="0.3"/>
    <row r="121" ht="14.25" customHeight="1" x14ac:dyDescent="0.3"/>
    <row r="122" ht="14.25" customHeight="1" x14ac:dyDescent="0.3"/>
    <row r="123" ht="14.25" customHeight="1" x14ac:dyDescent="0.3"/>
    <row r="124" ht="14.25" customHeight="1" x14ac:dyDescent="0.3"/>
    <row r="125" ht="14.25" customHeight="1" x14ac:dyDescent="0.3"/>
    <row r="126" ht="14.25" customHeight="1" x14ac:dyDescent="0.3"/>
    <row r="127" ht="14.25" customHeight="1" x14ac:dyDescent="0.3"/>
    <row r="128" ht="14.25" customHeight="1" x14ac:dyDescent="0.3"/>
    <row r="129" ht="14.25" customHeight="1" x14ac:dyDescent="0.3"/>
    <row r="130" ht="14.25" customHeight="1" x14ac:dyDescent="0.3"/>
    <row r="131" ht="14.25" customHeight="1" x14ac:dyDescent="0.3"/>
    <row r="132" ht="14.25" customHeight="1" x14ac:dyDescent="0.3"/>
    <row r="133" ht="14.25" customHeight="1" x14ac:dyDescent="0.3"/>
    <row r="134" ht="14.25" customHeight="1" x14ac:dyDescent="0.3"/>
    <row r="135" ht="14.25" customHeight="1" x14ac:dyDescent="0.3"/>
    <row r="136" ht="14.25" customHeight="1" x14ac:dyDescent="0.3"/>
    <row r="137" ht="14.25" customHeight="1" x14ac:dyDescent="0.3"/>
    <row r="138" ht="14.25" customHeight="1" x14ac:dyDescent="0.3"/>
    <row r="139" ht="14.25" customHeight="1" x14ac:dyDescent="0.3"/>
    <row r="140" ht="14.25" customHeight="1" x14ac:dyDescent="0.3"/>
    <row r="141" ht="14.25" customHeight="1" x14ac:dyDescent="0.3"/>
    <row r="142" ht="14.25" customHeight="1" x14ac:dyDescent="0.3"/>
    <row r="143" ht="14.25" customHeight="1" x14ac:dyDescent="0.3"/>
    <row r="144" ht="14.25" customHeight="1" x14ac:dyDescent="0.3"/>
    <row r="145" ht="14.25" customHeight="1" x14ac:dyDescent="0.3"/>
    <row r="146" ht="14.25" customHeight="1" x14ac:dyDescent="0.3"/>
    <row r="147" ht="14.25" customHeight="1" x14ac:dyDescent="0.3"/>
    <row r="148" ht="14.25" customHeight="1" x14ac:dyDescent="0.3"/>
    <row r="149" ht="14.25" customHeight="1" x14ac:dyDescent="0.3"/>
    <row r="150" ht="14.25" customHeight="1" x14ac:dyDescent="0.3"/>
    <row r="151" ht="14.25" customHeight="1" x14ac:dyDescent="0.3"/>
    <row r="152" ht="14.25" customHeight="1" x14ac:dyDescent="0.3"/>
    <row r="153" ht="14.25" customHeight="1" x14ac:dyDescent="0.3"/>
    <row r="154" ht="14.25" customHeight="1" x14ac:dyDescent="0.3"/>
    <row r="155" ht="14.25" customHeight="1" x14ac:dyDescent="0.3"/>
    <row r="156" ht="14.25" customHeight="1" x14ac:dyDescent="0.3"/>
    <row r="157" ht="14.25" customHeight="1" x14ac:dyDescent="0.3"/>
    <row r="158" ht="14.25" customHeight="1" x14ac:dyDescent="0.3"/>
    <row r="159" ht="14.25" customHeight="1" x14ac:dyDescent="0.3"/>
    <row r="160" ht="14.25" customHeight="1" x14ac:dyDescent="0.3"/>
    <row r="161" ht="14.25" customHeight="1" x14ac:dyDescent="0.3"/>
    <row r="162" ht="14.25" customHeight="1" x14ac:dyDescent="0.3"/>
    <row r="163" ht="14.25" customHeight="1" x14ac:dyDescent="0.3"/>
    <row r="164" ht="14.25" customHeight="1" x14ac:dyDescent="0.3"/>
    <row r="165" ht="14.25" customHeight="1" x14ac:dyDescent="0.3"/>
    <row r="166" ht="14.25" customHeight="1" x14ac:dyDescent="0.3"/>
    <row r="167" ht="14.25" customHeight="1" x14ac:dyDescent="0.3"/>
    <row r="168" ht="14.25" customHeight="1" x14ac:dyDescent="0.3"/>
    <row r="169" ht="14.25" customHeight="1" x14ac:dyDescent="0.3"/>
    <row r="170" ht="14.25" customHeight="1" x14ac:dyDescent="0.3"/>
    <row r="171" ht="14.25" customHeight="1" x14ac:dyDescent="0.3"/>
    <row r="172" ht="14.25" customHeight="1" x14ac:dyDescent="0.3"/>
    <row r="173" ht="14.25" customHeight="1" x14ac:dyDescent="0.3"/>
    <row r="174" ht="14.25" customHeight="1" x14ac:dyDescent="0.3"/>
    <row r="175" ht="14.25" customHeight="1" x14ac:dyDescent="0.3"/>
    <row r="176" ht="14.25" customHeight="1" x14ac:dyDescent="0.3"/>
    <row r="177" ht="14.25" customHeight="1" x14ac:dyDescent="0.3"/>
    <row r="178" ht="14.25" customHeight="1" x14ac:dyDescent="0.3"/>
    <row r="179" ht="14.25" customHeight="1" x14ac:dyDescent="0.3"/>
    <row r="180" ht="14.25" customHeight="1" x14ac:dyDescent="0.3"/>
    <row r="181" ht="14.25" customHeight="1" x14ac:dyDescent="0.3"/>
    <row r="182" ht="14.25" customHeight="1" x14ac:dyDescent="0.3"/>
    <row r="183" ht="14.25" customHeight="1" x14ac:dyDescent="0.3"/>
    <row r="184" ht="14.25" customHeight="1" x14ac:dyDescent="0.3"/>
    <row r="185" ht="14.25" customHeight="1" x14ac:dyDescent="0.3"/>
    <row r="186" ht="14.25" customHeight="1" x14ac:dyDescent="0.3"/>
    <row r="187" ht="14.25" customHeight="1" x14ac:dyDescent="0.3"/>
    <row r="188" ht="14.25" customHeight="1" x14ac:dyDescent="0.3"/>
    <row r="189" ht="14.25" customHeight="1" x14ac:dyDescent="0.3"/>
    <row r="190" ht="14.25" customHeight="1" x14ac:dyDescent="0.3"/>
    <row r="191" ht="14.25" customHeight="1" x14ac:dyDescent="0.3"/>
    <row r="192" ht="14.25" customHeight="1" x14ac:dyDescent="0.3"/>
    <row r="193" ht="14.25" customHeight="1" x14ac:dyDescent="0.3"/>
    <row r="194" ht="14.25" customHeight="1" x14ac:dyDescent="0.3"/>
    <row r="195" ht="14.25" customHeight="1" x14ac:dyDescent="0.3"/>
    <row r="196" ht="14.25" customHeight="1" x14ac:dyDescent="0.3"/>
    <row r="197" ht="14.25" customHeight="1" x14ac:dyDescent="0.3"/>
    <row r="198" ht="14.25" customHeight="1" x14ac:dyDescent="0.3"/>
    <row r="199" ht="14.25" customHeight="1" x14ac:dyDescent="0.3"/>
    <row r="200" ht="14.25" customHeight="1" x14ac:dyDescent="0.3"/>
    <row r="201" ht="14.25" customHeight="1" x14ac:dyDescent="0.3"/>
    <row r="202" ht="14.25" customHeight="1" x14ac:dyDescent="0.3"/>
    <row r="203" ht="14.25" customHeight="1" x14ac:dyDescent="0.3"/>
    <row r="204" ht="14.25" customHeight="1" x14ac:dyDescent="0.3"/>
    <row r="205" ht="14.25" customHeight="1" x14ac:dyDescent="0.3"/>
    <row r="206" ht="14.25" customHeight="1" x14ac:dyDescent="0.3"/>
    <row r="207" ht="14.25" customHeight="1" x14ac:dyDescent="0.3"/>
    <row r="208" ht="14.25" customHeight="1" x14ac:dyDescent="0.3"/>
    <row r="209" ht="14.25" customHeight="1" x14ac:dyDescent="0.3"/>
    <row r="210" ht="14.25" customHeight="1" x14ac:dyDescent="0.3"/>
    <row r="211" ht="14.25" customHeight="1" x14ac:dyDescent="0.3"/>
    <row r="212" ht="14.25" customHeight="1" x14ac:dyDescent="0.3"/>
    <row r="213" ht="14.25" customHeight="1" x14ac:dyDescent="0.3"/>
    <row r="214" ht="14.25" customHeight="1" x14ac:dyDescent="0.3"/>
    <row r="215" ht="14.25" customHeight="1" x14ac:dyDescent="0.3"/>
    <row r="216" ht="14.25" customHeight="1" x14ac:dyDescent="0.3"/>
    <row r="217" ht="14.25" customHeight="1" x14ac:dyDescent="0.3"/>
    <row r="218" ht="14.25" customHeight="1" x14ac:dyDescent="0.3"/>
    <row r="219" ht="14.25" customHeight="1" x14ac:dyDescent="0.3"/>
    <row r="220" ht="14.25" customHeight="1" x14ac:dyDescent="0.3"/>
    <row r="221" ht="14.25" customHeight="1" x14ac:dyDescent="0.3"/>
    <row r="222" ht="14.25" customHeight="1" x14ac:dyDescent="0.3"/>
    <row r="223" ht="14.25" customHeight="1" x14ac:dyDescent="0.3"/>
    <row r="224" ht="14.25" customHeight="1" x14ac:dyDescent="0.3"/>
    <row r="225" ht="14.25" customHeight="1" x14ac:dyDescent="0.3"/>
    <row r="226" ht="14.25" customHeight="1" x14ac:dyDescent="0.3"/>
    <row r="227" ht="14.25" customHeight="1" x14ac:dyDescent="0.3"/>
    <row r="228" ht="14.25" customHeight="1" x14ac:dyDescent="0.3"/>
    <row r="229" ht="14.25" customHeight="1" x14ac:dyDescent="0.3"/>
    <row r="230" ht="14.25" customHeight="1" x14ac:dyDescent="0.3"/>
    <row r="231" ht="14.25" customHeight="1" x14ac:dyDescent="0.3"/>
    <row r="232" ht="14.25" customHeight="1" x14ac:dyDescent="0.3"/>
    <row r="233" ht="14.25" customHeight="1" x14ac:dyDescent="0.3"/>
    <row r="234" ht="14.25" customHeight="1" x14ac:dyDescent="0.3"/>
    <row r="235" ht="14.25" customHeight="1" x14ac:dyDescent="0.3"/>
    <row r="236" ht="14.25" customHeight="1" x14ac:dyDescent="0.3"/>
    <row r="237" ht="14.25" customHeight="1" x14ac:dyDescent="0.3"/>
    <row r="238" ht="14.25" customHeight="1" x14ac:dyDescent="0.3"/>
    <row r="239" ht="14.25" customHeight="1" x14ac:dyDescent="0.3"/>
    <row r="240" ht="14.25" customHeight="1" x14ac:dyDescent="0.3"/>
    <row r="241" ht="14.25" customHeight="1" x14ac:dyDescent="0.3"/>
    <row r="242" ht="14.25" customHeight="1" x14ac:dyDescent="0.3"/>
    <row r="243" ht="14.25" customHeight="1" x14ac:dyDescent="0.3"/>
    <row r="244" ht="14.25" customHeight="1" x14ac:dyDescent="0.3"/>
    <row r="245" ht="14.25" customHeight="1" x14ac:dyDescent="0.3"/>
    <row r="246" ht="14.25" customHeight="1" x14ac:dyDescent="0.3"/>
    <row r="247" ht="14.25" customHeight="1" x14ac:dyDescent="0.3"/>
    <row r="248" ht="14.25" customHeight="1" x14ac:dyDescent="0.3"/>
    <row r="249" ht="14.25" customHeight="1" x14ac:dyDescent="0.3"/>
    <row r="250" ht="14.25" customHeight="1" x14ac:dyDescent="0.3"/>
    <row r="251" ht="14.25" customHeight="1" x14ac:dyDescent="0.3"/>
    <row r="252" ht="14.25" customHeight="1" x14ac:dyDescent="0.3"/>
    <row r="253" ht="14.25" customHeight="1" x14ac:dyDescent="0.3"/>
    <row r="254" ht="14.25" customHeight="1" x14ac:dyDescent="0.3"/>
    <row r="255" ht="14.25" customHeight="1" x14ac:dyDescent="0.3"/>
    <row r="256" ht="14.25" customHeight="1" x14ac:dyDescent="0.3"/>
    <row r="257" ht="14.25" customHeight="1" x14ac:dyDescent="0.3"/>
    <row r="258" ht="14.25" customHeight="1" x14ac:dyDescent="0.3"/>
    <row r="259" ht="14.25" customHeight="1" x14ac:dyDescent="0.3"/>
    <row r="260" ht="14.25" customHeight="1" x14ac:dyDescent="0.3"/>
    <row r="261" ht="14.25" customHeight="1" x14ac:dyDescent="0.3"/>
    <row r="262" ht="14.25" customHeight="1" x14ac:dyDescent="0.3"/>
    <row r="263" ht="14.25" customHeight="1" x14ac:dyDescent="0.3"/>
    <row r="264" ht="14.25" customHeight="1" x14ac:dyDescent="0.3"/>
    <row r="265" ht="14.25" customHeight="1" x14ac:dyDescent="0.3"/>
    <row r="266" ht="14.25" customHeight="1" x14ac:dyDescent="0.3"/>
    <row r="267" ht="14.25" customHeight="1" x14ac:dyDescent="0.3"/>
    <row r="268" ht="14.25" customHeight="1" x14ac:dyDescent="0.3"/>
    <row r="269" ht="14.25" customHeight="1" x14ac:dyDescent="0.3"/>
    <row r="270" ht="14.25" customHeight="1" x14ac:dyDescent="0.3"/>
    <row r="271" ht="14.25" customHeight="1" x14ac:dyDescent="0.3"/>
    <row r="272" ht="14.25" customHeight="1" x14ac:dyDescent="0.3"/>
    <row r="273" ht="14.25" customHeight="1" x14ac:dyDescent="0.3"/>
    <row r="274" ht="14.25" customHeight="1" x14ac:dyDescent="0.3"/>
    <row r="275" ht="14.25" customHeight="1" x14ac:dyDescent="0.3"/>
    <row r="276" ht="14.25" customHeight="1" x14ac:dyDescent="0.3"/>
    <row r="277" ht="14.25" customHeight="1" x14ac:dyDescent="0.3"/>
    <row r="278" ht="14.25" customHeight="1" x14ac:dyDescent="0.3"/>
    <row r="279" ht="14.25" customHeight="1" x14ac:dyDescent="0.3"/>
    <row r="280" ht="14.25" customHeight="1" x14ac:dyDescent="0.3"/>
    <row r="281" ht="14.25" customHeight="1" x14ac:dyDescent="0.3"/>
    <row r="282" ht="14.25" customHeight="1" x14ac:dyDescent="0.3"/>
    <row r="283" ht="14.25" customHeight="1" x14ac:dyDescent="0.3"/>
    <row r="284" ht="14.25" customHeight="1" x14ac:dyDescent="0.3"/>
    <row r="285" ht="14.25" customHeight="1" x14ac:dyDescent="0.3"/>
    <row r="286" ht="14.25" customHeight="1" x14ac:dyDescent="0.3"/>
    <row r="287" ht="14.25" customHeight="1" x14ac:dyDescent="0.3"/>
    <row r="288" ht="14.25" customHeight="1" x14ac:dyDescent="0.3"/>
    <row r="289" ht="14.25" customHeight="1" x14ac:dyDescent="0.3"/>
    <row r="290" ht="14.25" customHeight="1" x14ac:dyDescent="0.3"/>
    <row r="291" ht="14.25" customHeight="1" x14ac:dyDescent="0.3"/>
    <row r="292" ht="14.25" customHeight="1" x14ac:dyDescent="0.3"/>
    <row r="293" ht="14.25" customHeight="1" x14ac:dyDescent="0.3"/>
    <row r="294" ht="14.25" customHeight="1" x14ac:dyDescent="0.3"/>
    <row r="295" ht="14.25" customHeight="1" x14ac:dyDescent="0.3"/>
    <row r="296" ht="14.25" customHeight="1" x14ac:dyDescent="0.3"/>
    <row r="297" ht="14.25" customHeight="1" x14ac:dyDescent="0.3"/>
    <row r="298" ht="14.25" customHeight="1" x14ac:dyDescent="0.3"/>
    <row r="299" ht="14.25" customHeight="1" x14ac:dyDescent="0.3"/>
    <row r="300" ht="14.25" customHeight="1" x14ac:dyDescent="0.3"/>
    <row r="301" ht="14.25" customHeight="1" x14ac:dyDescent="0.3"/>
    <row r="302" ht="14.25" customHeight="1" x14ac:dyDescent="0.3"/>
    <row r="303" ht="14.25" customHeight="1" x14ac:dyDescent="0.3"/>
    <row r="304" ht="14.25" customHeight="1" x14ac:dyDescent="0.3"/>
    <row r="305" ht="14.25" customHeight="1" x14ac:dyDescent="0.3"/>
    <row r="306" ht="14.25" customHeight="1" x14ac:dyDescent="0.3"/>
    <row r="307" ht="14.25" customHeight="1" x14ac:dyDescent="0.3"/>
    <row r="308" ht="14.25" customHeight="1" x14ac:dyDescent="0.3"/>
    <row r="309" ht="14.25" customHeight="1" x14ac:dyDescent="0.3"/>
    <row r="310" ht="14.25" customHeight="1" x14ac:dyDescent="0.3"/>
    <row r="311" ht="14.25" customHeight="1" x14ac:dyDescent="0.3"/>
    <row r="312" ht="14.25" customHeight="1" x14ac:dyDescent="0.3"/>
    <row r="313" ht="14.25" customHeight="1" x14ac:dyDescent="0.3"/>
    <row r="314" ht="14.25" customHeight="1" x14ac:dyDescent="0.3"/>
    <row r="315" ht="14.25" customHeight="1" x14ac:dyDescent="0.3"/>
    <row r="316" ht="14.25" customHeight="1" x14ac:dyDescent="0.3"/>
    <row r="317" ht="14.25" customHeight="1" x14ac:dyDescent="0.3"/>
    <row r="318" ht="14.25" customHeight="1" x14ac:dyDescent="0.3"/>
    <row r="319" ht="14.25" customHeight="1" x14ac:dyDescent="0.3"/>
    <row r="320" ht="14.25" customHeight="1" x14ac:dyDescent="0.3"/>
    <row r="321" ht="14.25" customHeight="1" x14ac:dyDescent="0.3"/>
    <row r="322" ht="14.25" customHeight="1" x14ac:dyDescent="0.3"/>
    <row r="323" ht="14.25" customHeight="1" x14ac:dyDescent="0.3"/>
    <row r="324" ht="14.25" customHeight="1" x14ac:dyDescent="0.3"/>
    <row r="325" ht="14.25" customHeight="1" x14ac:dyDescent="0.3"/>
    <row r="326" ht="14.25" customHeight="1" x14ac:dyDescent="0.3"/>
    <row r="327" ht="14.25" customHeight="1" x14ac:dyDescent="0.3"/>
    <row r="328" ht="14.25" customHeight="1" x14ac:dyDescent="0.3"/>
    <row r="329" ht="14.25" customHeight="1" x14ac:dyDescent="0.3"/>
    <row r="330" ht="14.25" customHeight="1" x14ac:dyDescent="0.3"/>
    <row r="331" ht="14.25" customHeight="1" x14ac:dyDescent="0.3"/>
    <row r="332" ht="14.25" customHeight="1" x14ac:dyDescent="0.3"/>
    <row r="333" ht="14.25" customHeight="1" x14ac:dyDescent="0.3"/>
    <row r="334" ht="14.25" customHeight="1" x14ac:dyDescent="0.3"/>
    <row r="335" ht="14.25" customHeight="1" x14ac:dyDescent="0.3"/>
    <row r="336" ht="14.25" customHeight="1" x14ac:dyDescent="0.3"/>
    <row r="337" ht="14.25" customHeight="1" x14ac:dyDescent="0.3"/>
    <row r="338" ht="14.25" customHeight="1" x14ac:dyDescent="0.3"/>
    <row r="339" ht="14.25" customHeight="1" x14ac:dyDescent="0.3"/>
    <row r="340" ht="14.25" customHeight="1" x14ac:dyDescent="0.3"/>
    <row r="341" ht="14.25" customHeight="1" x14ac:dyDescent="0.3"/>
    <row r="342" ht="14.25" customHeight="1" x14ac:dyDescent="0.3"/>
    <row r="343" ht="14.25" customHeight="1" x14ac:dyDescent="0.3"/>
    <row r="344" ht="14.25" customHeight="1" x14ac:dyDescent="0.3"/>
    <row r="345" ht="14.25" customHeight="1" x14ac:dyDescent="0.3"/>
    <row r="346" ht="14.25" customHeight="1" x14ac:dyDescent="0.3"/>
    <row r="347" ht="14.25" customHeight="1" x14ac:dyDescent="0.3"/>
    <row r="348" ht="14.25" customHeight="1" x14ac:dyDescent="0.3"/>
    <row r="349" ht="14.25" customHeight="1" x14ac:dyDescent="0.3"/>
    <row r="350" ht="14.25" customHeight="1" x14ac:dyDescent="0.3"/>
    <row r="351" ht="14.25" customHeight="1" x14ac:dyDescent="0.3"/>
    <row r="352" ht="14.25" customHeight="1" x14ac:dyDescent="0.3"/>
    <row r="353" ht="14.25" customHeight="1" x14ac:dyDescent="0.3"/>
    <row r="354" ht="14.25" customHeight="1" x14ac:dyDescent="0.3"/>
    <row r="355" ht="14.25" customHeight="1" x14ac:dyDescent="0.3"/>
    <row r="356" ht="14.25" customHeight="1" x14ac:dyDescent="0.3"/>
    <row r="357" ht="14.25" customHeight="1" x14ac:dyDescent="0.3"/>
    <row r="358" ht="14.25" customHeight="1" x14ac:dyDescent="0.3"/>
    <row r="359" ht="14.25" customHeight="1" x14ac:dyDescent="0.3"/>
    <row r="360" ht="14.25" customHeight="1" x14ac:dyDescent="0.3"/>
    <row r="361" ht="14.25" customHeight="1" x14ac:dyDescent="0.3"/>
    <row r="362" ht="14.25" customHeight="1" x14ac:dyDescent="0.3"/>
    <row r="363" ht="14.25" customHeight="1" x14ac:dyDescent="0.3"/>
    <row r="364" ht="14.25" customHeight="1" x14ac:dyDescent="0.3"/>
    <row r="365" ht="14.25" customHeight="1" x14ac:dyDescent="0.3"/>
    <row r="366" ht="14.25" customHeight="1" x14ac:dyDescent="0.3"/>
    <row r="367" ht="14.25" customHeight="1" x14ac:dyDescent="0.3"/>
    <row r="368" ht="14.25" customHeight="1" x14ac:dyDescent="0.3"/>
    <row r="369" ht="14.25" customHeight="1" x14ac:dyDescent="0.3"/>
    <row r="370" ht="14.25" customHeight="1" x14ac:dyDescent="0.3"/>
    <row r="371" ht="14.25" customHeight="1" x14ac:dyDescent="0.3"/>
    <row r="372" ht="14.25" customHeight="1" x14ac:dyDescent="0.3"/>
    <row r="373" ht="14.25" customHeight="1" x14ac:dyDescent="0.3"/>
    <row r="374" ht="14.25" customHeight="1" x14ac:dyDescent="0.3"/>
    <row r="375" ht="14.25" customHeight="1" x14ac:dyDescent="0.3"/>
    <row r="376" ht="14.25" customHeight="1" x14ac:dyDescent="0.3"/>
    <row r="377" ht="14.25" customHeight="1" x14ac:dyDescent="0.3"/>
    <row r="378" ht="14.25" customHeight="1" x14ac:dyDescent="0.3"/>
    <row r="379" ht="14.25" customHeight="1" x14ac:dyDescent="0.3"/>
    <row r="380" ht="14.25" customHeight="1" x14ac:dyDescent="0.3"/>
    <row r="381" ht="14.25" customHeight="1" x14ac:dyDescent="0.3"/>
    <row r="382" ht="14.25" customHeight="1" x14ac:dyDescent="0.3"/>
    <row r="383" ht="14.25" customHeight="1" x14ac:dyDescent="0.3"/>
    <row r="384" ht="14.25" customHeight="1" x14ac:dyDescent="0.3"/>
    <row r="385" ht="14.25" customHeight="1" x14ac:dyDescent="0.3"/>
    <row r="386" ht="14.25" customHeight="1" x14ac:dyDescent="0.3"/>
    <row r="387" ht="14.25" customHeight="1" x14ac:dyDescent="0.3"/>
    <row r="388" ht="14.25" customHeight="1" x14ac:dyDescent="0.3"/>
    <row r="389" ht="14.25" customHeight="1" x14ac:dyDescent="0.3"/>
    <row r="390" ht="14.25" customHeight="1" x14ac:dyDescent="0.3"/>
    <row r="391" ht="14.25" customHeight="1" x14ac:dyDescent="0.3"/>
    <row r="392" ht="14.25" customHeight="1" x14ac:dyDescent="0.3"/>
    <row r="393" ht="14.25" customHeight="1" x14ac:dyDescent="0.3"/>
    <row r="394" ht="14.25" customHeight="1" x14ac:dyDescent="0.3"/>
    <row r="395" ht="14.25" customHeight="1" x14ac:dyDescent="0.3"/>
    <row r="396" ht="14.25" customHeight="1" x14ac:dyDescent="0.3"/>
    <row r="397" ht="14.25" customHeight="1" x14ac:dyDescent="0.3"/>
    <row r="398" ht="14.25" customHeight="1" x14ac:dyDescent="0.3"/>
    <row r="399" ht="14.25" customHeight="1" x14ac:dyDescent="0.3"/>
    <row r="400" ht="14.25" customHeight="1" x14ac:dyDescent="0.3"/>
    <row r="401" ht="14.25" customHeight="1" x14ac:dyDescent="0.3"/>
    <row r="402" ht="14.25" customHeight="1" x14ac:dyDescent="0.3"/>
    <row r="403" ht="14.25" customHeight="1" x14ac:dyDescent="0.3"/>
    <row r="404" ht="14.25" customHeight="1" x14ac:dyDescent="0.3"/>
    <row r="405" ht="14.25" customHeight="1" x14ac:dyDescent="0.3"/>
    <row r="406" ht="14.25" customHeight="1" x14ac:dyDescent="0.3"/>
    <row r="407" ht="14.25" customHeight="1" x14ac:dyDescent="0.3"/>
    <row r="408" ht="14.25" customHeight="1" x14ac:dyDescent="0.3"/>
    <row r="409" ht="14.25" customHeight="1" x14ac:dyDescent="0.3"/>
    <row r="410" ht="14.25" customHeight="1" x14ac:dyDescent="0.3"/>
    <row r="411" ht="14.25" customHeight="1" x14ac:dyDescent="0.3"/>
    <row r="412" ht="14.25" customHeight="1" x14ac:dyDescent="0.3"/>
    <row r="413" ht="14.25" customHeight="1" x14ac:dyDescent="0.3"/>
    <row r="414" ht="14.25" customHeight="1" x14ac:dyDescent="0.3"/>
    <row r="415" ht="14.25" customHeight="1" x14ac:dyDescent="0.3"/>
    <row r="416" ht="14.25" customHeight="1" x14ac:dyDescent="0.3"/>
    <row r="417" ht="14.25" customHeight="1" x14ac:dyDescent="0.3"/>
    <row r="418" ht="14.25" customHeight="1" x14ac:dyDescent="0.3"/>
    <row r="419" ht="14.25" customHeight="1" x14ac:dyDescent="0.3"/>
    <row r="420" ht="14.25" customHeight="1" x14ac:dyDescent="0.3"/>
    <row r="421" ht="14.25" customHeight="1" x14ac:dyDescent="0.3"/>
    <row r="422" ht="14.25" customHeight="1" x14ac:dyDescent="0.3"/>
    <row r="423" ht="14.25" customHeight="1" x14ac:dyDescent="0.3"/>
    <row r="424" ht="14.25" customHeight="1" x14ac:dyDescent="0.3"/>
    <row r="425" ht="14.25" customHeight="1" x14ac:dyDescent="0.3"/>
    <row r="426" ht="14.25" customHeight="1" x14ac:dyDescent="0.3"/>
    <row r="427" ht="14.25" customHeight="1" x14ac:dyDescent="0.3"/>
    <row r="428" ht="14.25" customHeight="1" x14ac:dyDescent="0.3"/>
    <row r="429" ht="14.25" customHeight="1" x14ac:dyDescent="0.3"/>
    <row r="430" ht="14.25" customHeight="1" x14ac:dyDescent="0.3"/>
    <row r="431" ht="14.25" customHeight="1" x14ac:dyDescent="0.3"/>
    <row r="432" ht="14.25" customHeight="1" x14ac:dyDescent="0.3"/>
    <row r="433" ht="14.25" customHeight="1" x14ac:dyDescent="0.3"/>
    <row r="434" ht="14.25" customHeight="1" x14ac:dyDescent="0.3"/>
    <row r="435" ht="14.25" customHeight="1" x14ac:dyDescent="0.3"/>
    <row r="436" ht="14.25" customHeight="1" x14ac:dyDescent="0.3"/>
    <row r="437" ht="14.25" customHeight="1" x14ac:dyDescent="0.3"/>
    <row r="438" ht="14.25" customHeight="1" x14ac:dyDescent="0.3"/>
    <row r="439" ht="14.25" customHeight="1" x14ac:dyDescent="0.3"/>
    <row r="440" ht="14.25" customHeight="1" x14ac:dyDescent="0.3"/>
    <row r="441" ht="14.25" customHeight="1" x14ac:dyDescent="0.3"/>
    <row r="442" ht="14.25" customHeight="1" x14ac:dyDescent="0.3"/>
    <row r="443" ht="14.25" customHeight="1" x14ac:dyDescent="0.3"/>
    <row r="444" ht="14.25" customHeight="1" x14ac:dyDescent="0.3"/>
    <row r="445" ht="14.25" customHeight="1" x14ac:dyDescent="0.3"/>
    <row r="446" ht="14.25" customHeight="1" x14ac:dyDescent="0.3"/>
    <row r="447" ht="14.25" customHeight="1" x14ac:dyDescent="0.3"/>
    <row r="448" ht="14.25" customHeight="1" x14ac:dyDescent="0.3"/>
    <row r="449" ht="14.25" customHeight="1" x14ac:dyDescent="0.3"/>
    <row r="450" ht="14.25" customHeight="1" x14ac:dyDescent="0.3"/>
    <row r="451" ht="14.25" customHeight="1" x14ac:dyDescent="0.3"/>
    <row r="452" ht="14.25" customHeight="1" x14ac:dyDescent="0.3"/>
    <row r="453" ht="14.25" customHeight="1" x14ac:dyDescent="0.3"/>
    <row r="454" ht="14.25" customHeight="1" x14ac:dyDescent="0.3"/>
    <row r="455" ht="14.25" customHeight="1" x14ac:dyDescent="0.3"/>
    <row r="456" ht="14.25" customHeight="1" x14ac:dyDescent="0.3"/>
    <row r="457" ht="14.25" customHeight="1" x14ac:dyDescent="0.3"/>
    <row r="458" ht="14.25" customHeight="1" x14ac:dyDescent="0.3"/>
    <row r="459" ht="14.25" customHeight="1" x14ac:dyDescent="0.3"/>
    <row r="460" ht="14.25" customHeight="1" x14ac:dyDescent="0.3"/>
    <row r="461" ht="14.25" customHeight="1" x14ac:dyDescent="0.3"/>
    <row r="462" ht="14.25" customHeight="1" x14ac:dyDescent="0.3"/>
    <row r="463" ht="14.25" customHeight="1" x14ac:dyDescent="0.3"/>
    <row r="464" ht="14.25" customHeight="1" x14ac:dyDescent="0.3"/>
    <row r="465" ht="14.25" customHeight="1" x14ac:dyDescent="0.3"/>
    <row r="466" ht="14.25" customHeight="1" x14ac:dyDescent="0.3"/>
    <row r="467" ht="14.25" customHeight="1" x14ac:dyDescent="0.3"/>
    <row r="468" ht="14.25" customHeight="1" x14ac:dyDescent="0.3"/>
    <row r="469" ht="14.25" customHeight="1" x14ac:dyDescent="0.3"/>
    <row r="470" ht="14.25" customHeight="1" x14ac:dyDescent="0.3"/>
    <row r="471" ht="14.25" customHeight="1" x14ac:dyDescent="0.3"/>
    <row r="472" ht="14.25" customHeight="1" x14ac:dyDescent="0.3"/>
    <row r="473" ht="14.25" customHeight="1" x14ac:dyDescent="0.3"/>
    <row r="474" ht="14.25" customHeight="1" x14ac:dyDescent="0.3"/>
    <row r="475" ht="14.25" customHeight="1" x14ac:dyDescent="0.3"/>
    <row r="476" ht="14.25" customHeight="1" x14ac:dyDescent="0.3"/>
    <row r="477" ht="14.25" customHeight="1" x14ac:dyDescent="0.3"/>
    <row r="478" ht="14.25" customHeight="1" x14ac:dyDescent="0.3"/>
    <row r="479" ht="14.25" customHeight="1" x14ac:dyDescent="0.3"/>
    <row r="480" ht="14.25" customHeight="1" x14ac:dyDescent="0.3"/>
    <row r="481" ht="14.25" customHeight="1" x14ac:dyDescent="0.3"/>
    <row r="482" ht="14.25" customHeight="1" x14ac:dyDescent="0.3"/>
    <row r="483" ht="14.25" customHeight="1" x14ac:dyDescent="0.3"/>
    <row r="484" ht="14.25" customHeight="1" x14ac:dyDescent="0.3"/>
    <row r="485" ht="14.25" customHeight="1" x14ac:dyDescent="0.3"/>
    <row r="486" ht="14.25" customHeight="1" x14ac:dyDescent="0.3"/>
    <row r="487" ht="14.25" customHeight="1" x14ac:dyDescent="0.3"/>
    <row r="488" ht="14.25" customHeight="1" x14ac:dyDescent="0.3"/>
    <row r="489" ht="14.25" customHeight="1" x14ac:dyDescent="0.3"/>
    <row r="490" ht="14.25" customHeight="1" x14ac:dyDescent="0.3"/>
    <row r="491" ht="14.25" customHeight="1" x14ac:dyDescent="0.3"/>
    <row r="492" ht="14.25" customHeight="1" x14ac:dyDescent="0.3"/>
    <row r="493" ht="14.25" customHeight="1" x14ac:dyDescent="0.3"/>
    <row r="494" ht="14.25" customHeight="1" x14ac:dyDescent="0.3"/>
    <row r="495" ht="14.25" customHeight="1" x14ac:dyDescent="0.3"/>
    <row r="496" ht="14.25" customHeight="1" x14ac:dyDescent="0.3"/>
    <row r="497" ht="14.25" customHeight="1" x14ac:dyDescent="0.3"/>
    <row r="498" ht="14.25" customHeight="1" x14ac:dyDescent="0.3"/>
    <row r="499" ht="14.25" customHeight="1" x14ac:dyDescent="0.3"/>
    <row r="500" ht="14.25" customHeight="1" x14ac:dyDescent="0.3"/>
    <row r="501" ht="14.25" customHeight="1" x14ac:dyDescent="0.3"/>
    <row r="502" ht="14.25" customHeight="1" x14ac:dyDescent="0.3"/>
    <row r="503" ht="14.25" customHeight="1" x14ac:dyDescent="0.3"/>
    <row r="504" ht="14.25" customHeight="1" x14ac:dyDescent="0.3"/>
    <row r="505" ht="14.25" customHeight="1" x14ac:dyDescent="0.3"/>
    <row r="506" ht="14.25" customHeight="1" x14ac:dyDescent="0.3"/>
    <row r="507" ht="14.25" customHeight="1" x14ac:dyDescent="0.3"/>
    <row r="508" ht="14.25" customHeight="1" x14ac:dyDescent="0.3"/>
    <row r="509" ht="14.25" customHeight="1" x14ac:dyDescent="0.3"/>
    <row r="510" ht="14.25" customHeight="1" x14ac:dyDescent="0.3"/>
    <row r="511" ht="14.25" customHeight="1" x14ac:dyDescent="0.3"/>
    <row r="512" ht="14.25" customHeight="1" x14ac:dyDescent="0.3"/>
    <row r="513" ht="14.25" customHeight="1" x14ac:dyDescent="0.3"/>
    <row r="514" ht="14.25" customHeight="1" x14ac:dyDescent="0.3"/>
    <row r="515" ht="14.25" customHeight="1" x14ac:dyDescent="0.3"/>
    <row r="516" ht="14.25" customHeight="1" x14ac:dyDescent="0.3"/>
    <row r="517" ht="14.25" customHeight="1" x14ac:dyDescent="0.3"/>
    <row r="518" ht="14.25" customHeight="1" x14ac:dyDescent="0.3"/>
    <row r="519" ht="14.25" customHeight="1" x14ac:dyDescent="0.3"/>
    <row r="520" ht="14.25" customHeight="1" x14ac:dyDescent="0.3"/>
    <row r="521" ht="14.25" customHeight="1" x14ac:dyDescent="0.3"/>
    <row r="522" ht="14.25" customHeight="1" x14ac:dyDescent="0.3"/>
    <row r="523" ht="14.25" customHeight="1" x14ac:dyDescent="0.3"/>
    <row r="524" ht="14.25" customHeight="1" x14ac:dyDescent="0.3"/>
    <row r="525" ht="14.25" customHeight="1" x14ac:dyDescent="0.3"/>
    <row r="526" ht="14.25" customHeight="1" x14ac:dyDescent="0.3"/>
    <row r="527" ht="14.25" customHeight="1" x14ac:dyDescent="0.3"/>
    <row r="528" ht="14.25" customHeight="1" x14ac:dyDescent="0.3"/>
    <row r="529" ht="14.25" customHeight="1" x14ac:dyDescent="0.3"/>
    <row r="530" ht="14.25" customHeight="1" x14ac:dyDescent="0.3"/>
    <row r="531" ht="14.25" customHeight="1" x14ac:dyDescent="0.3"/>
    <row r="532" ht="14.25" customHeight="1" x14ac:dyDescent="0.3"/>
    <row r="533" ht="14.25" customHeight="1" x14ac:dyDescent="0.3"/>
    <row r="534" ht="14.25" customHeight="1" x14ac:dyDescent="0.3"/>
    <row r="535" ht="14.25" customHeight="1" x14ac:dyDescent="0.3"/>
    <row r="536" ht="14.25" customHeight="1" x14ac:dyDescent="0.3"/>
    <row r="537" ht="14.25" customHeight="1" x14ac:dyDescent="0.3"/>
    <row r="538" ht="14.25" customHeight="1" x14ac:dyDescent="0.3"/>
    <row r="539" ht="14.25" customHeight="1" x14ac:dyDescent="0.3"/>
    <row r="540" ht="14.25" customHeight="1" x14ac:dyDescent="0.3"/>
    <row r="541" ht="14.25" customHeight="1" x14ac:dyDescent="0.3"/>
    <row r="542" ht="14.25" customHeight="1" x14ac:dyDescent="0.3"/>
    <row r="543" ht="14.25" customHeight="1" x14ac:dyDescent="0.3"/>
    <row r="544" ht="14.25" customHeight="1" x14ac:dyDescent="0.3"/>
    <row r="545" ht="14.25" customHeight="1" x14ac:dyDescent="0.3"/>
    <row r="546" ht="14.25" customHeight="1" x14ac:dyDescent="0.3"/>
    <row r="547" ht="14.25" customHeight="1" x14ac:dyDescent="0.3"/>
    <row r="548" ht="14.25" customHeight="1" x14ac:dyDescent="0.3"/>
    <row r="549" ht="14.25" customHeight="1" x14ac:dyDescent="0.3"/>
    <row r="550" ht="14.25" customHeight="1" x14ac:dyDescent="0.3"/>
    <row r="551" ht="14.25" customHeight="1" x14ac:dyDescent="0.3"/>
    <row r="552" ht="14.25" customHeight="1" x14ac:dyDescent="0.3"/>
    <row r="553" ht="14.25" customHeight="1" x14ac:dyDescent="0.3"/>
    <row r="554" ht="14.25" customHeight="1" x14ac:dyDescent="0.3"/>
    <row r="555" ht="14.25" customHeight="1" x14ac:dyDescent="0.3"/>
    <row r="556" ht="14.25" customHeight="1" x14ac:dyDescent="0.3"/>
    <row r="557" ht="14.25" customHeight="1" x14ac:dyDescent="0.3"/>
    <row r="558" ht="14.25" customHeight="1" x14ac:dyDescent="0.3"/>
    <row r="559" ht="14.25" customHeight="1" x14ac:dyDescent="0.3"/>
    <row r="560" ht="14.25" customHeight="1" x14ac:dyDescent="0.3"/>
    <row r="561" ht="14.25" customHeight="1" x14ac:dyDescent="0.3"/>
    <row r="562" ht="14.25" customHeight="1" x14ac:dyDescent="0.3"/>
    <row r="563" ht="14.25" customHeight="1" x14ac:dyDescent="0.3"/>
    <row r="564" ht="14.25" customHeight="1" x14ac:dyDescent="0.3"/>
    <row r="565" ht="14.25" customHeight="1" x14ac:dyDescent="0.3"/>
    <row r="566" ht="14.25" customHeight="1" x14ac:dyDescent="0.3"/>
    <row r="567" ht="14.25" customHeight="1" x14ac:dyDescent="0.3"/>
    <row r="568" ht="14.25" customHeight="1" x14ac:dyDescent="0.3"/>
    <row r="569" ht="14.25" customHeight="1" x14ac:dyDescent="0.3"/>
    <row r="570" ht="14.25" customHeight="1" x14ac:dyDescent="0.3"/>
    <row r="571" ht="14.25" customHeight="1" x14ac:dyDescent="0.3"/>
    <row r="572" ht="14.25" customHeight="1" x14ac:dyDescent="0.3"/>
    <row r="573" ht="14.25" customHeight="1" x14ac:dyDescent="0.3"/>
    <row r="574" ht="14.25" customHeight="1" x14ac:dyDescent="0.3"/>
    <row r="575" ht="14.25" customHeight="1" x14ac:dyDescent="0.3"/>
    <row r="576" ht="14.25" customHeight="1" x14ac:dyDescent="0.3"/>
    <row r="577" ht="14.25" customHeight="1" x14ac:dyDescent="0.3"/>
    <row r="578" ht="14.25" customHeight="1" x14ac:dyDescent="0.3"/>
    <row r="579" ht="14.25" customHeight="1" x14ac:dyDescent="0.3"/>
    <row r="580" ht="14.25" customHeight="1" x14ac:dyDescent="0.3"/>
    <row r="581" ht="14.25" customHeight="1" x14ac:dyDescent="0.3"/>
    <row r="582" ht="14.25" customHeight="1" x14ac:dyDescent="0.3"/>
    <row r="583" ht="14.25" customHeight="1" x14ac:dyDescent="0.3"/>
    <row r="584" ht="14.25" customHeight="1" x14ac:dyDescent="0.3"/>
    <row r="585" ht="14.25" customHeight="1" x14ac:dyDescent="0.3"/>
    <row r="586" ht="14.25" customHeight="1" x14ac:dyDescent="0.3"/>
    <row r="587" ht="14.25" customHeight="1" x14ac:dyDescent="0.3"/>
    <row r="588" ht="14.25" customHeight="1" x14ac:dyDescent="0.3"/>
    <row r="589" ht="14.25" customHeight="1" x14ac:dyDescent="0.3"/>
    <row r="590" ht="14.25" customHeight="1" x14ac:dyDescent="0.3"/>
    <row r="591" ht="14.25" customHeight="1" x14ac:dyDescent="0.3"/>
    <row r="592" ht="14.25" customHeight="1" x14ac:dyDescent="0.3"/>
    <row r="593" ht="14.25" customHeight="1" x14ac:dyDescent="0.3"/>
    <row r="594" ht="14.25" customHeight="1" x14ac:dyDescent="0.3"/>
    <row r="595" ht="14.25" customHeight="1" x14ac:dyDescent="0.3"/>
    <row r="596" ht="14.25" customHeight="1" x14ac:dyDescent="0.3"/>
    <row r="597" ht="14.25" customHeight="1" x14ac:dyDescent="0.3"/>
    <row r="598" ht="14.25" customHeight="1" x14ac:dyDescent="0.3"/>
    <row r="599" ht="14.25" customHeight="1" x14ac:dyDescent="0.3"/>
    <row r="600" ht="14.25" customHeight="1" x14ac:dyDescent="0.3"/>
    <row r="601" ht="14.25" customHeight="1" x14ac:dyDescent="0.3"/>
    <row r="602" ht="14.25" customHeight="1" x14ac:dyDescent="0.3"/>
    <row r="603" ht="14.25" customHeight="1" x14ac:dyDescent="0.3"/>
    <row r="604" ht="14.25" customHeight="1" x14ac:dyDescent="0.3"/>
    <row r="605" ht="14.25" customHeight="1" x14ac:dyDescent="0.3"/>
    <row r="606" ht="14.25" customHeight="1" x14ac:dyDescent="0.3"/>
    <row r="607" ht="14.25" customHeight="1" x14ac:dyDescent="0.3"/>
    <row r="608" ht="14.25" customHeight="1" x14ac:dyDescent="0.3"/>
    <row r="609" ht="14.25" customHeight="1" x14ac:dyDescent="0.3"/>
    <row r="610" ht="14.25" customHeight="1" x14ac:dyDescent="0.3"/>
    <row r="611" ht="14.25" customHeight="1" x14ac:dyDescent="0.3"/>
    <row r="612" ht="14.25" customHeight="1" x14ac:dyDescent="0.3"/>
    <row r="613" ht="14.25" customHeight="1" x14ac:dyDescent="0.3"/>
    <row r="614" ht="14.25" customHeight="1" x14ac:dyDescent="0.3"/>
    <row r="615" ht="14.25" customHeight="1" x14ac:dyDescent="0.3"/>
    <row r="616" ht="14.25" customHeight="1" x14ac:dyDescent="0.3"/>
    <row r="617" ht="14.25" customHeight="1" x14ac:dyDescent="0.3"/>
    <row r="618" ht="14.25" customHeight="1" x14ac:dyDescent="0.3"/>
    <row r="619" ht="14.25" customHeight="1" x14ac:dyDescent="0.3"/>
    <row r="620" ht="14.25" customHeight="1" x14ac:dyDescent="0.3"/>
    <row r="621" ht="14.25" customHeight="1" x14ac:dyDescent="0.3"/>
    <row r="622" ht="14.25" customHeight="1" x14ac:dyDescent="0.3"/>
    <row r="623" ht="14.25" customHeight="1" x14ac:dyDescent="0.3"/>
    <row r="624" ht="14.25" customHeight="1" x14ac:dyDescent="0.3"/>
    <row r="625" ht="14.25" customHeight="1" x14ac:dyDescent="0.3"/>
    <row r="626" ht="14.25" customHeight="1" x14ac:dyDescent="0.3"/>
    <row r="627" ht="14.25" customHeight="1" x14ac:dyDescent="0.3"/>
    <row r="628" ht="14.25" customHeight="1" x14ac:dyDescent="0.3"/>
    <row r="629" ht="14.25" customHeight="1" x14ac:dyDescent="0.3"/>
    <row r="630" ht="14.25" customHeight="1" x14ac:dyDescent="0.3"/>
    <row r="631" ht="14.25" customHeight="1" x14ac:dyDescent="0.3"/>
    <row r="632" ht="14.25" customHeight="1" x14ac:dyDescent="0.3"/>
    <row r="633" ht="14.25" customHeight="1" x14ac:dyDescent="0.3"/>
    <row r="634" ht="14.25" customHeight="1" x14ac:dyDescent="0.3"/>
    <row r="635" ht="14.25" customHeight="1" x14ac:dyDescent="0.3"/>
    <row r="636" ht="14.25" customHeight="1" x14ac:dyDescent="0.3"/>
    <row r="637" ht="14.25" customHeight="1" x14ac:dyDescent="0.3"/>
    <row r="638" ht="14.25" customHeight="1" x14ac:dyDescent="0.3"/>
    <row r="639" ht="14.25" customHeight="1" x14ac:dyDescent="0.3"/>
    <row r="640" ht="14.25" customHeight="1" x14ac:dyDescent="0.3"/>
    <row r="641" ht="14.25" customHeight="1" x14ac:dyDescent="0.3"/>
    <row r="642" ht="14.25" customHeight="1" x14ac:dyDescent="0.3"/>
    <row r="643" ht="14.25" customHeight="1" x14ac:dyDescent="0.3"/>
    <row r="644" ht="14.25" customHeight="1" x14ac:dyDescent="0.3"/>
    <row r="645" ht="14.25" customHeight="1" x14ac:dyDescent="0.3"/>
    <row r="646" ht="14.25" customHeight="1" x14ac:dyDescent="0.3"/>
    <row r="647" ht="14.25" customHeight="1" x14ac:dyDescent="0.3"/>
    <row r="648" ht="14.25" customHeight="1" x14ac:dyDescent="0.3"/>
    <row r="649" ht="14.25" customHeight="1" x14ac:dyDescent="0.3"/>
    <row r="650" ht="14.25" customHeight="1" x14ac:dyDescent="0.3"/>
    <row r="651" ht="14.25" customHeight="1" x14ac:dyDescent="0.3"/>
    <row r="652" ht="14.25" customHeight="1" x14ac:dyDescent="0.3"/>
    <row r="653" ht="14.25" customHeight="1" x14ac:dyDescent="0.3"/>
    <row r="654" ht="14.25" customHeight="1" x14ac:dyDescent="0.3"/>
    <row r="655" ht="14.25" customHeight="1" x14ac:dyDescent="0.3"/>
    <row r="656" ht="14.25" customHeight="1" x14ac:dyDescent="0.3"/>
    <row r="657" ht="14.25" customHeight="1" x14ac:dyDescent="0.3"/>
    <row r="658" ht="14.25" customHeight="1" x14ac:dyDescent="0.3"/>
    <row r="659" ht="14.25" customHeight="1" x14ac:dyDescent="0.3"/>
    <row r="660" ht="14.25" customHeight="1" x14ac:dyDescent="0.3"/>
    <row r="661" ht="14.25" customHeight="1" x14ac:dyDescent="0.3"/>
    <row r="662" ht="14.25" customHeight="1" x14ac:dyDescent="0.3"/>
    <row r="663" ht="14.25" customHeight="1" x14ac:dyDescent="0.3"/>
    <row r="664" ht="14.25" customHeight="1" x14ac:dyDescent="0.3"/>
    <row r="665" ht="14.25" customHeight="1" x14ac:dyDescent="0.3"/>
    <row r="666" ht="14.25" customHeight="1" x14ac:dyDescent="0.3"/>
    <row r="667" ht="14.25" customHeight="1" x14ac:dyDescent="0.3"/>
    <row r="668" ht="14.25" customHeight="1" x14ac:dyDescent="0.3"/>
    <row r="669" ht="14.25" customHeight="1" x14ac:dyDescent="0.3"/>
    <row r="670" ht="14.25" customHeight="1" x14ac:dyDescent="0.3"/>
    <row r="671" ht="14.25" customHeight="1" x14ac:dyDescent="0.3"/>
    <row r="672" ht="14.25" customHeight="1" x14ac:dyDescent="0.3"/>
    <row r="673" ht="14.25" customHeight="1" x14ac:dyDescent="0.3"/>
    <row r="674" ht="14.25" customHeight="1" x14ac:dyDescent="0.3"/>
    <row r="675" ht="14.25" customHeight="1" x14ac:dyDescent="0.3"/>
    <row r="676" ht="14.25" customHeight="1" x14ac:dyDescent="0.3"/>
    <row r="677" ht="14.25" customHeight="1" x14ac:dyDescent="0.3"/>
    <row r="678" ht="14.25" customHeight="1" x14ac:dyDescent="0.3"/>
    <row r="679" ht="14.25" customHeight="1" x14ac:dyDescent="0.3"/>
    <row r="680" ht="14.25" customHeight="1" x14ac:dyDescent="0.3"/>
    <row r="681" ht="14.25" customHeight="1" x14ac:dyDescent="0.3"/>
    <row r="682" ht="14.25" customHeight="1" x14ac:dyDescent="0.3"/>
    <row r="683" ht="14.25" customHeight="1" x14ac:dyDescent="0.3"/>
    <row r="684" ht="14.25" customHeight="1" x14ac:dyDescent="0.3"/>
    <row r="685" ht="14.25" customHeight="1" x14ac:dyDescent="0.3"/>
    <row r="686" ht="14.25" customHeight="1" x14ac:dyDescent="0.3"/>
    <row r="687" ht="14.25" customHeight="1" x14ac:dyDescent="0.3"/>
    <row r="688" ht="14.25" customHeight="1" x14ac:dyDescent="0.3"/>
    <row r="689" ht="14.25" customHeight="1" x14ac:dyDescent="0.3"/>
    <row r="690" ht="14.25" customHeight="1" x14ac:dyDescent="0.3"/>
    <row r="691" ht="14.25" customHeight="1" x14ac:dyDescent="0.3"/>
    <row r="692" ht="14.25" customHeight="1" x14ac:dyDescent="0.3"/>
    <row r="693" ht="14.25" customHeight="1" x14ac:dyDescent="0.3"/>
    <row r="694" ht="14.25" customHeight="1" x14ac:dyDescent="0.3"/>
    <row r="695" ht="14.25" customHeight="1" x14ac:dyDescent="0.3"/>
    <row r="696" ht="14.25" customHeight="1" x14ac:dyDescent="0.3"/>
    <row r="697" ht="14.25" customHeight="1" x14ac:dyDescent="0.3"/>
    <row r="698" ht="14.25" customHeight="1" x14ac:dyDescent="0.3"/>
    <row r="699" ht="14.25" customHeight="1" x14ac:dyDescent="0.3"/>
    <row r="700" ht="14.25" customHeight="1" x14ac:dyDescent="0.3"/>
    <row r="701" ht="14.25" customHeight="1" x14ac:dyDescent="0.3"/>
    <row r="702" ht="14.25" customHeight="1" x14ac:dyDescent="0.3"/>
    <row r="703" ht="14.25" customHeight="1" x14ac:dyDescent="0.3"/>
    <row r="704" ht="14.25" customHeight="1" x14ac:dyDescent="0.3"/>
    <row r="705" ht="14.25" customHeight="1" x14ac:dyDescent="0.3"/>
    <row r="706" ht="14.25" customHeight="1" x14ac:dyDescent="0.3"/>
    <row r="707" ht="14.25" customHeight="1" x14ac:dyDescent="0.3"/>
    <row r="708" ht="14.25" customHeight="1" x14ac:dyDescent="0.3"/>
    <row r="709" ht="14.25" customHeight="1" x14ac:dyDescent="0.3"/>
    <row r="710" ht="14.25" customHeight="1" x14ac:dyDescent="0.3"/>
    <row r="711" ht="14.25" customHeight="1" x14ac:dyDescent="0.3"/>
    <row r="712" ht="14.25" customHeight="1" x14ac:dyDescent="0.3"/>
    <row r="713" ht="14.25" customHeight="1" x14ac:dyDescent="0.3"/>
    <row r="714" ht="14.25" customHeight="1" x14ac:dyDescent="0.3"/>
    <row r="715" ht="14.25" customHeight="1" x14ac:dyDescent="0.3"/>
    <row r="716" ht="14.25" customHeight="1" x14ac:dyDescent="0.3"/>
    <row r="717" ht="14.25" customHeight="1" x14ac:dyDescent="0.3"/>
    <row r="718" ht="14.25" customHeight="1" x14ac:dyDescent="0.3"/>
    <row r="719" ht="14.25" customHeight="1" x14ac:dyDescent="0.3"/>
    <row r="720" ht="14.25" customHeight="1" x14ac:dyDescent="0.3"/>
    <row r="721" ht="14.25" customHeight="1" x14ac:dyDescent="0.3"/>
    <row r="722" ht="14.25" customHeight="1" x14ac:dyDescent="0.3"/>
    <row r="723" ht="14.25" customHeight="1" x14ac:dyDescent="0.3"/>
    <row r="724" ht="14.25" customHeight="1" x14ac:dyDescent="0.3"/>
    <row r="725" ht="14.25" customHeight="1" x14ac:dyDescent="0.3"/>
    <row r="726" ht="14.25" customHeight="1" x14ac:dyDescent="0.3"/>
    <row r="727" ht="14.25" customHeight="1" x14ac:dyDescent="0.3"/>
    <row r="728" ht="14.25" customHeight="1" x14ac:dyDescent="0.3"/>
    <row r="729" ht="14.25" customHeight="1" x14ac:dyDescent="0.3"/>
    <row r="730" ht="14.25" customHeight="1" x14ac:dyDescent="0.3"/>
    <row r="731" ht="14.25" customHeight="1" x14ac:dyDescent="0.3"/>
    <row r="732" ht="14.25" customHeight="1" x14ac:dyDescent="0.3"/>
    <row r="733" ht="14.25" customHeight="1" x14ac:dyDescent="0.3"/>
    <row r="734" ht="14.25" customHeight="1" x14ac:dyDescent="0.3"/>
    <row r="735" ht="14.25" customHeight="1" x14ac:dyDescent="0.3"/>
    <row r="736" ht="14.25" customHeight="1" x14ac:dyDescent="0.3"/>
    <row r="737" ht="14.25" customHeight="1" x14ac:dyDescent="0.3"/>
    <row r="738" ht="14.25" customHeight="1" x14ac:dyDescent="0.3"/>
    <row r="739" ht="14.25" customHeight="1" x14ac:dyDescent="0.3"/>
    <row r="740" ht="14.25" customHeight="1" x14ac:dyDescent="0.3"/>
    <row r="741" ht="14.25" customHeight="1" x14ac:dyDescent="0.3"/>
    <row r="742" ht="14.25" customHeight="1" x14ac:dyDescent="0.3"/>
    <row r="743" ht="14.25" customHeight="1" x14ac:dyDescent="0.3"/>
    <row r="744" ht="14.25" customHeight="1" x14ac:dyDescent="0.3"/>
    <row r="745" ht="14.25" customHeight="1" x14ac:dyDescent="0.3"/>
    <row r="746" ht="14.25" customHeight="1" x14ac:dyDescent="0.3"/>
    <row r="747" ht="14.25" customHeight="1" x14ac:dyDescent="0.3"/>
    <row r="748" ht="14.25" customHeight="1" x14ac:dyDescent="0.3"/>
    <row r="749" ht="14.25" customHeight="1" x14ac:dyDescent="0.3"/>
    <row r="750" ht="14.25" customHeight="1" x14ac:dyDescent="0.3"/>
    <row r="751" ht="14.25" customHeight="1" x14ac:dyDescent="0.3"/>
    <row r="752" ht="14.25" customHeight="1" x14ac:dyDescent="0.3"/>
    <row r="753" ht="14.25" customHeight="1" x14ac:dyDescent="0.3"/>
    <row r="754" ht="14.25" customHeight="1" x14ac:dyDescent="0.3"/>
    <row r="755" ht="14.25" customHeight="1" x14ac:dyDescent="0.3"/>
    <row r="756" ht="14.25" customHeight="1" x14ac:dyDescent="0.3"/>
    <row r="757" ht="14.25" customHeight="1" x14ac:dyDescent="0.3"/>
    <row r="758" ht="14.25" customHeight="1" x14ac:dyDescent="0.3"/>
    <row r="759" ht="14.25" customHeight="1" x14ac:dyDescent="0.3"/>
    <row r="760" ht="14.25" customHeight="1" x14ac:dyDescent="0.3"/>
    <row r="761" ht="14.25" customHeight="1" x14ac:dyDescent="0.3"/>
    <row r="762" ht="14.25" customHeight="1" x14ac:dyDescent="0.3"/>
    <row r="763" ht="14.25" customHeight="1" x14ac:dyDescent="0.3"/>
    <row r="764" ht="14.25" customHeight="1" x14ac:dyDescent="0.3"/>
    <row r="765" ht="14.25" customHeight="1" x14ac:dyDescent="0.3"/>
    <row r="766" ht="14.25" customHeight="1" x14ac:dyDescent="0.3"/>
    <row r="767" ht="14.25" customHeight="1" x14ac:dyDescent="0.3"/>
    <row r="768" ht="14.25" customHeight="1" x14ac:dyDescent="0.3"/>
    <row r="769" ht="14.25" customHeight="1" x14ac:dyDescent="0.3"/>
    <row r="770" ht="14.25" customHeight="1" x14ac:dyDescent="0.3"/>
    <row r="771" ht="14.25" customHeight="1" x14ac:dyDescent="0.3"/>
    <row r="772" ht="14.25" customHeight="1" x14ac:dyDescent="0.3"/>
    <row r="773" ht="14.25" customHeight="1" x14ac:dyDescent="0.3"/>
    <row r="774" ht="14.25" customHeight="1" x14ac:dyDescent="0.3"/>
    <row r="775" ht="14.25" customHeight="1" x14ac:dyDescent="0.3"/>
    <row r="776" ht="14.25" customHeight="1" x14ac:dyDescent="0.3"/>
    <row r="777" ht="14.25" customHeight="1" x14ac:dyDescent="0.3"/>
    <row r="778" ht="14.25" customHeight="1" x14ac:dyDescent="0.3"/>
    <row r="779" ht="14.25" customHeight="1" x14ac:dyDescent="0.3"/>
    <row r="780" ht="14.25" customHeight="1" x14ac:dyDescent="0.3"/>
    <row r="781" ht="14.25" customHeight="1" x14ac:dyDescent="0.3"/>
    <row r="782" ht="14.25" customHeight="1" x14ac:dyDescent="0.3"/>
    <row r="783" ht="14.25" customHeight="1" x14ac:dyDescent="0.3"/>
    <row r="784" ht="14.25" customHeight="1" x14ac:dyDescent="0.3"/>
    <row r="785" ht="14.25" customHeight="1" x14ac:dyDescent="0.3"/>
    <row r="786" ht="14.25" customHeight="1" x14ac:dyDescent="0.3"/>
    <row r="787" ht="14.25" customHeight="1" x14ac:dyDescent="0.3"/>
    <row r="788" ht="14.25" customHeight="1" x14ac:dyDescent="0.3"/>
    <row r="789" ht="14.25" customHeight="1" x14ac:dyDescent="0.3"/>
    <row r="790" ht="14.25" customHeight="1" x14ac:dyDescent="0.3"/>
    <row r="791" ht="14.25" customHeight="1" x14ac:dyDescent="0.3"/>
    <row r="792" ht="14.25" customHeight="1" x14ac:dyDescent="0.3"/>
    <row r="793" ht="14.25" customHeight="1" x14ac:dyDescent="0.3"/>
    <row r="794" ht="14.25" customHeight="1" x14ac:dyDescent="0.3"/>
    <row r="795" ht="14.25" customHeight="1" x14ac:dyDescent="0.3"/>
    <row r="796" ht="14.25" customHeight="1" x14ac:dyDescent="0.3"/>
    <row r="797" ht="14.25" customHeight="1" x14ac:dyDescent="0.3"/>
    <row r="798" ht="14.25" customHeight="1" x14ac:dyDescent="0.3"/>
    <row r="799" ht="14.25" customHeight="1" x14ac:dyDescent="0.3"/>
    <row r="800" ht="14.25" customHeight="1" x14ac:dyDescent="0.3"/>
    <row r="801" ht="14.25" customHeight="1" x14ac:dyDescent="0.3"/>
    <row r="802" ht="14.25" customHeight="1" x14ac:dyDescent="0.3"/>
    <row r="803" ht="14.25" customHeight="1" x14ac:dyDescent="0.3"/>
    <row r="804" ht="14.25" customHeight="1" x14ac:dyDescent="0.3"/>
    <row r="805" ht="14.25" customHeight="1" x14ac:dyDescent="0.3"/>
    <row r="806" ht="14.25" customHeight="1" x14ac:dyDescent="0.3"/>
    <row r="807" ht="14.25" customHeight="1" x14ac:dyDescent="0.3"/>
    <row r="808" ht="14.25" customHeight="1" x14ac:dyDescent="0.3"/>
    <row r="809" ht="14.25" customHeight="1" x14ac:dyDescent="0.3"/>
    <row r="810" ht="14.25" customHeight="1" x14ac:dyDescent="0.3"/>
    <row r="811" ht="14.25" customHeight="1" x14ac:dyDescent="0.3"/>
    <row r="812" ht="14.25" customHeight="1" x14ac:dyDescent="0.3"/>
    <row r="813" ht="14.25" customHeight="1" x14ac:dyDescent="0.3"/>
    <row r="814" ht="14.25" customHeight="1" x14ac:dyDescent="0.3"/>
    <row r="815" ht="14.25" customHeight="1" x14ac:dyDescent="0.3"/>
    <row r="816" ht="14.25" customHeight="1" x14ac:dyDescent="0.3"/>
    <row r="817" ht="14.25" customHeight="1" x14ac:dyDescent="0.3"/>
    <row r="818" ht="14.25" customHeight="1" x14ac:dyDescent="0.3"/>
    <row r="819" ht="14.25" customHeight="1" x14ac:dyDescent="0.3"/>
    <row r="820" ht="14.25" customHeight="1" x14ac:dyDescent="0.3"/>
    <row r="821" ht="14.25" customHeight="1" x14ac:dyDescent="0.3"/>
    <row r="822" ht="14.25" customHeight="1" x14ac:dyDescent="0.3"/>
    <row r="823" ht="14.25" customHeight="1" x14ac:dyDescent="0.3"/>
    <row r="824" ht="14.25" customHeight="1" x14ac:dyDescent="0.3"/>
    <row r="825" ht="14.25" customHeight="1" x14ac:dyDescent="0.3"/>
    <row r="826" ht="14.25" customHeight="1" x14ac:dyDescent="0.3"/>
    <row r="827" ht="14.25" customHeight="1" x14ac:dyDescent="0.3"/>
    <row r="828" ht="14.25" customHeight="1" x14ac:dyDescent="0.3"/>
    <row r="829" ht="14.25" customHeight="1" x14ac:dyDescent="0.3"/>
    <row r="830" ht="14.25" customHeight="1" x14ac:dyDescent="0.3"/>
    <row r="831" ht="14.25" customHeight="1" x14ac:dyDescent="0.3"/>
    <row r="832" ht="14.25" customHeight="1" x14ac:dyDescent="0.3"/>
    <row r="833" ht="14.25" customHeight="1" x14ac:dyDescent="0.3"/>
    <row r="834" ht="14.25" customHeight="1" x14ac:dyDescent="0.3"/>
    <row r="835" ht="14.25" customHeight="1" x14ac:dyDescent="0.3"/>
    <row r="836" ht="14.25" customHeight="1" x14ac:dyDescent="0.3"/>
    <row r="837" ht="14.25" customHeight="1" x14ac:dyDescent="0.3"/>
    <row r="838" ht="14.25" customHeight="1" x14ac:dyDescent="0.3"/>
    <row r="839" ht="14.25" customHeight="1" x14ac:dyDescent="0.3"/>
    <row r="840" ht="14.25" customHeight="1" x14ac:dyDescent="0.3"/>
    <row r="841" ht="14.25" customHeight="1" x14ac:dyDescent="0.3"/>
    <row r="842" ht="14.25" customHeight="1" x14ac:dyDescent="0.3"/>
    <row r="843" ht="14.25" customHeight="1" x14ac:dyDescent="0.3"/>
    <row r="844" ht="14.25" customHeight="1" x14ac:dyDescent="0.3"/>
    <row r="845" ht="14.25" customHeight="1" x14ac:dyDescent="0.3"/>
    <row r="846" ht="14.25" customHeight="1" x14ac:dyDescent="0.3"/>
    <row r="847" ht="14.25" customHeight="1" x14ac:dyDescent="0.3"/>
    <row r="848" ht="14.25" customHeight="1" x14ac:dyDescent="0.3"/>
    <row r="849" ht="14.25" customHeight="1" x14ac:dyDescent="0.3"/>
    <row r="850" ht="14.25" customHeight="1" x14ac:dyDescent="0.3"/>
    <row r="851" ht="14.25" customHeight="1" x14ac:dyDescent="0.3"/>
    <row r="852" ht="14.25" customHeight="1" x14ac:dyDescent="0.3"/>
    <row r="853" ht="14.25" customHeight="1" x14ac:dyDescent="0.3"/>
    <row r="854" ht="14.25" customHeight="1" x14ac:dyDescent="0.3"/>
    <row r="855" ht="14.25" customHeight="1" x14ac:dyDescent="0.3"/>
    <row r="856" ht="14.25" customHeight="1" x14ac:dyDescent="0.3"/>
    <row r="857" ht="14.25" customHeight="1" x14ac:dyDescent="0.3"/>
    <row r="858" ht="14.25" customHeight="1" x14ac:dyDescent="0.3"/>
    <row r="859" ht="14.25" customHeight="1" x14ac:dyDescent="0.3"/>
    <row r="860" ht="14.25" customHeight="1" x14ac:dyDescent="0.3"/>
    <row r="861" ht="14.25" customHeight="1" x14ac:dyDescent="0.3"/>
    <row r="862" ht="14.25" customHeight="1" x14ac:dyDescent="0.3"/>
    <row r="863" ht="14.25" customHeight="1" x14ac:dyDescent="0.3"/>
    <row r="864" ht="14.25" customHeight="1" x14ac:dyDescent="0.3"/>
    <row r="865" ht="14.25" customHeight="1" x14ac:dyDescent="0.3"/>
    <row r="866" ht="14.25" customHeight="1" x14ac:dyDescent="0.3"/>
    <row r="867" ht="14.25" customHeight="1" x14ac:dyDescent="0.3"/>
    <row r="868" ht="14.25" customHeight="1" x14ac:dyDescent="0.3"/>
    <row r="869" ht="14.25" customHeight="1" x14ac:dyDescent="0.3"/>
    <row r="870" ht="14.25" customHeight="1" x14ac:dyDescent="0.3"/>
    <row r="871" ht="14.25" customHeight="1" x14ac:dyDescent="0.3"/>
    <row r="872" ht="14.25" customHeight="1" x14ac:dyDescent="0.3"/>
    <row r="873" ht="14.25" customHeight="1" x14ac:dyDescent="0.3"/>
    <row r="874" ht="14.25" customHeight="1" x14ac:dyDescent="0.3"/>
    <row r="875" ht="14.25" customHeight="1" x14ac:dyDescent="0.3"/>
    <row r="876" ht="14.25" customHeight="1" x14ac:dyDescent="0.3"/>
    <row r="877" ht="14.25" customHeight="1" x14ac:dyDescent="0.3"/>
    <row r="878" ht="14.25" customHeight="1" x14ac:dyDescent="0.3"/>
    <row r="879" ht="14.25" customHeight="1" x14ac:dyDescent="0.3"/>
    <row r="880" ht="14.25" customHeight="1" x14ac:dyDescent="0.3"/>
    <row r="881" ht="14.25" customHeight="1" x14ac:dyDescent="0.3"/>
    <row r="882" ht="14.25" customHeight="1" x14ac:dyDescent="0.3"/>
    <row r="883" ht="14.25" customHeight="1" x14ac:dyDescent="0.3"/>
    <row r="884" ht="14.25" customHeight="1" x14ac:dyDescent="0.3"/>
    <row r="885" ht="14.25" customHeight="1" x14ac:dyDescent="0.3"/>
    <row r="886" ht="14.25" customHeight="1" x14ac:dyDescent="0.3"/>
    <row r="887" ht="14.25" customHeight="1" x14ac:dyDescent="0.3"/>
    <row r="888" ht="14.25" customHeight="1" x14ac:dyDescent="0.3"/>
    <row r="889" ht="14.25" customHeight="1" x14ac:dyDescent="0.3"/>
    <row r="890" ht="14.25" customHeight="1" x14ac:dyDescent="0.3"/>
    <row r="891" ht="14.25" customHeight="1" x14ac:dyDescent="0.3"/>
    <row r="892" ht="14.25" customHeight="1" x14ac:dyDescent="0.3"/>
    <row r="893" ht="14.25" customHeight="1" x14ac:dyDescent="0.3"/>
    <row r="894" ht="14.25" customHeight="1" x14ac:dyDescent="0.3"/>
    <row r="895" ht="14.25" customHeight="1" x14ac:dyDescent="0.3"/>
    <row r="896" ht="14.25" customHeight="1" x14ac:dyDescent="0.3"/>
    <row r="897" ht="14.25" customHeight="1" x14ac:dyDescent="0.3"/>
    <row r="898" ht="14.25" customHeight="1" x14ac:dyDescent="0.3"/>
    <row r="899" ht="14.25" customHeight="1" x14ac:dyDescent="0.3"/>
    <row r="900" ht="14.25" customHeight="1" x14ac:dyDescent="0.3"/>
    <row r="901" ht="14.25" customHeight="1" x14ac:dyDescent="0.3"/>
    <row r="902" ht="14.25" customHeight="1" x14ac:dyDescent="0.3"/>
    <row r="903" ht="14.25" customHeight="1" x14ac:dyDescent="0.3"/>
    <row r="904" ht="14.25" customHeight="1" x14ac:dyDescent="0.3"/>
    <row r="905" ht="14.25" customHeight="1" x14ac:dyDescent="0.3"/>
    <row r="906" ht="14.25" customHeight="1" x14ac:dyDescent="0.3"/>
    <row r="907" ht="14.25" customHeight="1" x14ac:dyDescent="0.3"/>
    <row r="908" ht="14.25" customHeight="1" x14ac:dyDescent="0.3"/>
    <row r="909" ht="14.25" customHeight="1" x14ac:dyDescent="0.3"/>
    <row r="910" ht="14.25" customHeight="1" x14ac:dyDescent="0.3"/>
    <row r="911" ht="14.25" customHeight="1" x14ac:dyDescent="0.3"/>
    <row r="912" ht="14.25" customHeight="1" x14ac:dyDescent="0.3"/>
    <row r="913" ht="14.25" customHeight="1" x14ac:dyDescent="0.3"/>
    <row r="914" ht="14.25" customHeight="1" x14ac:dyDescent="0.3"/>
    <row r="915" ht="14.25" customHeight="1" x14ac:dyDescent="0.3"/>
    <row r="916" ht="14.25" customHeight="1" x14ac:dyDescent="0.3"/>
    <row r="917" ht="14.25" customHeight="1" x14ac:dyDescent="0.3"/>
    <row r="918" ht="14.25" customHeight="1" x14ac:dyDescent="0.3"/>
    <row r="919" ht="14.25" customHeight="1" x14ac:dyDescent="0.3"/>
    <row r="920" ht="14.25" customHeight="1" x14ac:dyDescent="0.3"/>
    <row r="921" ht="14.25" customHeight="1" x14ac:dyDescent="0.3"/>
    <row r="922" ht="14.25" customHeight="1" x14ac:dyDescent="0.3"/>
    <row r="923" ht="14.25" customHeight="1" x14ac:dyDescent="0.3"/>
    <row r="924" ht="14.25" customHeight="1" x14ac:dyDescent="0.3"/>
    <row r="925" ht="14.25" customHeight="1" x14ac:dyDescent="0.3"/>
    <row r="926" ht="14.25" customHeight="1" x14ac:dyDescent="0.3"/>
    <row r="927" ht="14.25" customHeight="1" x14ac:dyDescent="0.3"/>
    <row r="928" ht="14.25" customHeight="1" x14ac:dyDescent="0.3"/>
    <row r="929" ht="14.25" customHeight="1" x14ac:dyDescent="0.3"/>
    <row r="930" ht="14.25" customHeight="1" x14ac:dyDescent="0.3"/>
    <row r="931" ht="14.25" customHeight="1" x14ac:dyDescent="0.3"/>
    <row r="932" ht="14.25" customHeight="1" x14ac:dyDescent="0.3"/>
    <row r="933" ht="14.25" customHeight="1" x14ac:dyDescent="0.3"/>
    <row r="934" ht="14.25" customHeight="1" x14ac:dyDescent="0.3"/>
    <row r="935" ht="14.25" customHeight="1" x14ac:dyDescent="0.3"/>
    <row r="936" ht="14.25" customHeight="1" x14ac:dyDescent="0.3"/>
    <row r="937" ht="14.25" customHeight="1" x14ac:dyDescent="0.3"/>
    <row r="938" ht="14.25" customHeight="1" x14ac:dyDescent="0.3"/>
    <row r="939" ht="14.25" customHeight="1" x14ac:dyDescent="0.3"/>
    <row r="940" ht="14.25" customHeight="1" x14ac:dyDescent="0.3"/>
    <row r="941" ht="14.25" customHeight="1" x14ac:dyDescent="0.3"/>
    <row r="942" ht="14.25" customHeight="1" x14ac:dyDescent="0.3"/>
    <row r="943" ht="14.25" customHeight="1" x14ac:dyDescent="0.3"/>
    <row r="944" ht="14.25" customHeight="1" x14ac:dyDescent="0.3"/>
    <row r="945" ht="14.25" customHeight="1" x14ac:dyDescent="0.3"/>
    <row r="946" ht="14.25" customHeight="1" x14ac:dyDescent="0.3"/>
    <row r="947" ht="14.25" customHeight="1" x14ac:dyDescent="0.3"/>
    <row r="948" ht="14.25" customHeight="1" x14ac:dyDescent="0.3"/>
    <row r="949" ht="14.25" customHeight="1" x14ac:dyDescent="0.3"/>
    <row r="950" ht="14.25" customHeight="1" x14ac:dyDescent="0.3"/>
    <row r="951" ht="14.25" customHeight="1" x14ac:dyDescent="0.3"/>
    <row r="952" ht="14.25" customHeight="1" x14ac:dyDescent="0.3"/>
    <row r="953" ht="14.25" customHeight="1" x14ac:dyDescent="0.3"/>
    <row r="954" ht="14.25" customHeight="1" x14ac:dyDescent="0.3"/>
    <row r="955" ht="14.25" customHeight="1" x14ac:dyDescent="0.3"/>
    <row r="956" ht="14.25" customHeight="1" x14ac:dyDescent="0.3"/>
    <row r="957" ht="14.25" customHeight="1" x14ac:dyDescent="0.3"/>
    <row r="958" ht="14.25" customHeight="1" x14ac:dyDescent="0.3"/>
    <row r="959" ht="14.25" customHeight="1" x14ac:dyDescent="0.3"/>
    <row r="960" ht="14.25" customHeight="1" x14ac:dyDescent="0.3"/>
    <row r="961" ht="14.25" customHeight="1" x14ac:dyDescent="0.3"/>
    <row r="962" ht="14.25" customHeight="1" x14ac:dyDescent="0.3"/>
    <row r="963" ht="14.25" customHeight="1" x14ac:dyDescent="0.3"/>
    <row r="964" ht="14.25" customHeight="1" x14ac:dyDescent="0.3"/>
    <row r="965" ht="14.25" customHeight="1" x14ac:dyDescent="0.3"/>
    <row r="966" ht="14.25" customHeight="1" x14ac:dyDescent="0.3"/>
    <row r="967" ht="14.25" customHeight="1" x14ac:dyDescent="0.3"/>
    <row r="968" ht="14.25" customHeight="1" x14ac:dyDescent="0.3"/>
    <row r="969" ht="14.25" customHeight="1" x14ac:dyDescent="0.3"/>
    <row r="970" ht="14.25" customHeight="1" x14ac:dyDescent="0.3"/>
    <row r="971" ht="14.25" customHeight="1" x14ac:dyDescent="0.3"/>
    <row r="972" ht="14.25" customHeight="1" x14ac:dyDescent="0.3"/>
    <row r="973" ht="14.25" customHeight="1" x14ac:dyDescent="0.3"/>
    <row r="974" ht="14.25" customHeight="1" x14ac:dyDescent="0.3"/>
    <row r="975" ht="14.25" customHeight="1" x14ac:dyDescent="0.3"/>
    <row r="976" ht="14.25" customHeight="1" x14ac:dyDescent="0.3"/>
    <row r="977" ht="14.25" customHeight="1" x14ac:dyDescent="0.3"/>
    <row r="978" ht="14.25" customHeight="1" x14ac:dyDescent="0.3"/>
    <row r="979" ht="14.25" customHeight="1" x14ac:dyDescent="0.3"/>
    <row r="980" ht="14.25" customHeight="1" x14ac:dyDescent="0.3"/>
    <row r="981" ht="14.25" customHeight="1" x14ac:dyDescent="0.3"/>
    <row r="982" ht="14.25" customHeight="1" x14ac:dyDescent="0.3"/>
    <row r="983" ht="14.25" customHeight="1" x14ac:dyDescent="0.3"/>
    <row r="984" ht="14.25" customHeight="1" x14ac:dyDescent="0.3"/>
    <row r="985" ht="14.25" customHeight="1" x14ac:dyDescent="0.3"/>
    <row r="986" ht="14.25" customHeight="1" x14ac:dyDescent="0.3"/>
    <row r="987" ht="14.25" customHeight="1" x14ac:dyDescent="0.3"/>
    <row r="988" ht="14.25" customHeight="1" x14ac:dyDescent="0.3"/>
    <row r="989" ht="14.25" customHeight="1" x14ac:dyDescent="0.3"/>
    <row r="990" ht="14.25" customHeight="1" x14ac:dyDescent="0.3"/>
    <row r="991" ht="14.25" customHeight="1" x14ac:dyDescent="0.3"/>
    <row r="992" ht="14.25" customHeight="1" x14ac:dyDescent="0.3"/>
    <row r="993" ht="14.25" customHeight="1" x14ac:dyDescent="0.3"/>
    <row r="994" ht="14.25" customHeight="1" x14ac:dyDescent="0.3"/>
    <row r="995" ht="14.25" customHeight="1" x14ac:dyDescent="0.3"/>
    <row r="996" ht="14.25" customHeight="1" x14ac:dyDescent="0.3"/>
    <row r="997" ht="14.25" customHeight="1" x14ac:dyDescent="0.3"/>
    <row r="998" ht="14.25" customHeight="1" x14ac:dyDescent="0.3"/>
    <row r="999" ht="14.25" customHeight="1" x14ac:dyDescent="0.3"/>
    <row r="1000" ht="14.25" customHeight="1" x14ac:dyDescent="0.3"/>
  </sheetData>
  <mergeCells count="11">
    <mergeCell ref="L18:P18"/>
    <mergeCell ref="J19:P19"/>
    <mergeCell ref="L20:R20"/>
    <mergeCell ref="H22:I22"/>
    <mergeCell ref="J3:L3"/>
    <mergeCell ref="L4:M4"/>
    <mergeCell ref="J13:P13"/>
    <mergeCell ref="L14:P14"/>
    <mergeCell ref="J15:P15"/>
    <mergeCell ref="L16:P16"/>
    <mergeCell ref="J17:P17"/>
  </mergeCells>
  <pageMargins left="0.7" right="0.7" top="0.75" bottom="0.75" header="0" footer="0"/>
  <pageSetup orientation="landscape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sheetPr>
    <outlinePr summaryBelow="0" summaryRight="0"/>
  </sheetPr>
  <dimension ref="A1:M21"/>
  <sheetViews>
    <sheetView tabSelected="1" workbookViewId="0">
      <selection activeCell="L14" sqref="L14"/>
    </sheetView>
  </sheetViews>
  <sheetFormatPr defaultColWidth="14.44140625" defaultRowHeight="15" customHeight="1" x14ac:dyDescent="0.3"/>
  <sheetData>
    <row r="1" spans="1:13" x14ac:dyDescent="0.3">
      <c r="A1" s="14" t="s">
        <v>0</v>
      </c>
      <c r="B1" s="14" t="s">
        <v>1</v>
      </c>
      <c r="C1" s="14" t="s">
        <v>2</v>
      </c>
      <c r="D1" s="14" t="s">
        <v>3</v>
      </c>
      <c r="E1" s="14" t="s">
        <v>4</v>
      </c>
      <c r="F1" s="14" t="s">
        <v>5</v>
      </c>
      <c r="G1" s="14" t="s">
        <v>6</v>
      </c>
    </row>
    <row r="2" spans="1:13" x14ac:dyDescent="0.3">
      <c r="A2" s="15">
        <v>121</v>
      </c>
      <c r="B2" s="16" t="s">
        <v>7</v>
      </c>
      <c r="C2" s="16" t="s">
        <v>8</v>
      </c>
      <c r="D2" s="15">
        <v>22</v>
      </c>
      <c r="E2" s="16" t="s">
        <v>9</v>
      </c>
      <c r="F2" s="16" t="s">
        <v>10</v>
      </c>
      <c r="G2" s="15">
        <v>55</v>
      </c>
    </row>
    <row r="3" spans="1:13" x14ac:dyDescent="0.3">
      <c r="A3" s="15">
        <v>122</v>
      </c>
      <c r="B3" s="16" t="s">
        <v>12</v>
      </c>
      <c r="C3" s="16" t="s">
        <v>13</v>
      </c>
      <c r="D3" s="15">
        <v>23</v>
      </c>
      <c r="E3" s="16" t="s">
        <v>14</v>
      </c>
      <c r="F3" s="16" t="s">
        <v>15</v>
      </c>
      <c r="G3" s="15">
        <v>63</v>
      </c>
      <c r="I3" s="17" t="s">
        <v>4</v>
      </c>
      <c r="J3" s="17" t="s">
        <v>109</v>
      </c>
      <c r="M3" s="2" t="s">
        <v>110</v>
      </c>
    </row>
    <row r="4" spans="1:13" x14ac:dyDescent="0.3">
      <c r="A4" s="15">
        <v>123</v>
      </c>
      <c r="B4" s="16" t="s">
        <v>19</v>
      </c>
      <c r="C4" s="16" t="s">
        <v>20</v>
      </c>
      <c r="D4" s="15">
        <v>24</v>
      </c>
      <c r="E4" s="16" t="s">
        <v>21</v>
      </c>
      <c r="F4" s="16" t="s">
        <v>22</v>
      </c>
      <c r="G4" s="15">
        <v>71</v>
      </c>
      <c r="I4" s="2" t="s">
        <v>14</v>
      </c>
      <c r="J4">
        <f>AVERAGEIF(E2:E21,"Mumbai",G2:G21)</f>
        <v>63.4</v>
      </c>
      <c r="M4">
        <f>AVERAGEIFS(G2:G21,E2:E21,"Delhi",D2:D21,"&gt;22")</f>
        <v>83</v>
      </c>
    </row>
    <row r="5" spans="1:13" x14ac:dyDescent="0.3">
      <c r="A5" s="15">
        <v>124</v>
      </c>
      <c r="B5" s="16" t="s">
        <v>25</v>
      </c>
      <c r="C5" s="16" t="s">
        <v>26</v>
      </c>
      <c r="D5" s="15">
        <v>21</v>
      </c>
      <c r="E5" s="16" t="s">
        <v>14</v>
      </c>
      <c r="F5" s="16" t="s">
        <v>27</v>
      </c>
      <c r="G5" s="15">
        <v>68</v>
      </c>
      <c r="I5" s="2" t="s">
        <v>9</v>
      </c>
      <c r="J5">
        <f>AVERAGEIF(E3:E22,"Delhi",G3:G22)</f>
        <v>83</v>
      </c>
      <c r="M5" s="2" t="s">
        <v>111</v>
      </c>
    </row>
    <row r="6" spans="1:13" x14ac:dyDescent="0.3">
      <c r="A6" s="15">
        <v>125</v>
      </c>
      <c r="B6" s="16" t="s">
        <v>30</v>
      </c>
      <c r="C6" s="16" t="s">
        <v>31</v>
      </c>
      <c r="D6" s="15">
        <v>25</v>
      </c>
      <c r="E6" s="16" t="s">
        <v>32</v>
      </c>
      <c r="F6" s="16" t="s">
        <v>22</v>
      </c>
      <c r="G6" s="15">
        <v>74</v>
      </c>
      <c r="I6" s="2" t="s">
        <v>21</v>
      </c>
      <c r="J6">
        <f>AVERAGEIF(E4:E23,"Noida",G4:G23)</f>
        <v>79.400000000000006</v>
      </c>
      <c r="M6">
        <f>AVERAGEIFS(G2:G21,E2:E21,"*I",F2:F21,"ML")</f>
        <v>69.25</v>
      </c>
    </row>
    <row r="7" spans="1:13" x14ac:dyDescent="0.3">
      <c r="A7" s="15">
        <v>126</v>
      </c>
      <c r="B7" s="16" t="s">
        <v>35</v>
      </c>
      <c r="C7" s="16" t="s">
        <v>36</v>
      </c>
      <c r="D7" s="15">
        <v>24</v>
      </c>
      <c r="E7" s="16" t="s">
        <v>9</v>
      </c>
      <c r="F7" s="16" t="s">
        <v>27</v>
      </c>
      <c r="G7" s="15">
        <v>81</v>
      </c>
      <c r="I7" s="16" t="s">
        <v>32</v>
      </c>
      <c r="J7">
        <f>AVERAGEIF(E5:E24,"Bangalore",G5:G24)</f>
        <v>68.75</v>
      </c>
      <c r="M7" s="2" t="s">
        <v>131</v>
      </c>
    </row>
    <row r="8" spans="1:13" x14ac:dyDescent="0.3">
      <c r="A8" s="15">
        <v>127</v>
      </c>
      <c r="B8" s="16" t="s">
        <v>39</v>
      </c>
      <c r="C8" s="16" t="s">
        <v>40</v>
      </c>
      <c r="D8" s="15">
        <v>23</v>
      </c>
      <c r="E8" s="16" t="s">
        <v>14</v>
      </c>
      <c r="F8" s="16" t="s">
        <v>10</v>
      </c>
      <c r="G8" s="15">
        <v>83</v>
      </c>
      <c r="I8" s="2" t="s">
        <v>69</v>
      </c>
      <c r="M8" t="e">
        <f>AVERAGEIFS(G2:G21,F2:F21,"SQL",D2:D21,"&lt;25",B2:B21,"A*")</f>
        <v>#DIV/0!</v>
      </c>
    </row>
    <row r="9" spans="1:13" x14ac:dyDescent="0.3">
      <c r="A9" s="15">
        <v>128</v>
      </c>
      <c r="B9" s="16" t="s">
        <v>44</v>
      </c>
      <c r="C9" s="16" t="s">
        <v>20</v>
      </c>
      <c r="D9" s="15">
        <v>24</v>
      </c>
      <c r="E9" s="16" t="s">
        <v>32</v>
      </c>
      <c r="F9" s="16" t="s">
        <v>15</v>
      </c>
      <c r="G9" s="15">
        <v>80</v>
      </c>
      <c r="M9" s="2" t="s">
        <v>112</v>
      </c>
    </row>
    <row r="10" spans="1:13" x14ac:dyDescent="0.3">
      <c r="A10" s="15">
        <v>129</v>
      </c>
      <c r="B10" s="16" t="s">
        <v>51</v>
      </c>
      <c r="C10" s="16" t="s">
        <v>52</v>
      </c>
      <c r="D10" s="15">
        <v>25</v>
      </c>
      <c r="E10" s="16" t="s">
        <v>21</v>
      </c>
      <c r="F10" s="16" t="s">
        <v>53</v>
      </c>
      <c r="G10" s="15">
        <v>74</v>
      </c>
      <c r="M10">
        <f>AVERAGEIFS(G2:G21,D2:D21,"&gt;=23",D2:D21,"&lt;=25")</f>
        <v>75.666666666666671</v>
      </c>
    </row>
    <row r="11" spans="1:13" x14ac:dyDescent="0.3">
      <c r="A11" s="15">
        <v>130</v>
      </c>
      <c r="B11" s="16" t="s">
        <v>57</v>
      </c>
      <c r="C11" s="16"/>
      <c r="D11" s="15">
        <v>27</v>
      </c>
      <c r="E11" s="16" t="s">
        <v>14</v>
      </c>
      <c r="F11" s="16" t="s">
        <v>27</v>
      </c>
      <c r="G11" s="15">
        <v>47</v>
      </c>
    </row>
    <row r="12" spans="1:13" x14ac:dyDescent="0.3">
      <c r="A12" s="15">
        <v>131</v>
      </c>
      <c r="B12" s="16" t="s">
        <v>61</v>
      </c>
      <c r="C12" s="16" t="s">
        <v>8</v>
      </c>
      <c r="D12" s="15">
        <v>28</v>
      </c>
      <c r="E12" s="16" t="s">
        <v>21</v>
      </c>
      <c r="F12" s="16" t="s">
        <v>53</v>
      </c>
      <c r="G12" s="15">
        <v>91</v>
      </c>
      <c r="I12" s="17" t="s">
        <v>5</v>
      </c>
      <c r="J12" s="17" t="s">
        <v>109</v>
      </c>
    </row>
    <row r="13" spans="1:13" x14ac:dyDescent="0.3">
      <c r="A13" s="15">
        <v>132</v>
      </c>
      <c r="B13" s="16" t="s">
        <v>62</v>
      </c>
      <c r="C13" s="16" t="s">
        <v>63</v>
      </c>
      <c r="D13" s="15">
        <v>26</v>
      </c>
      <c r="E13" s="16" t="s">
        <v>32</v>
      </c>
      <c r="F13" s="16" t="s">
        <v>27</v>
      </c>
      <c r="G13" s="15">
        <v>72</v>
      </c>
      <c r="I13" s="2" t="s">
        <v>10</v>
      </c>
      <c r="J13">
        <f>AVERAGEIF(F2:F21,"Python",G2:G21)</f>
        <v>69.8</v>
      </c>
    </row>
    <row r="14" spans="1:13" x14ac:dyDescent="0.3">
      <c r="A14" s="15">
        <v>133</v>
      </c>
      <c r="B14" s="16" t="s">
        <v>65</v>
      </c>
      <c r="C14" s="16" t="s">
        <v>66</v>
      </c>
      <c r="D14" s="15">
        <v>23</v>
      </c>
      <c r="E14" s="16" t="s">
        <v>9</v>
      </c>
      <c r="F14" s="16" t="s">
        <v>22</v>
      </c>
      <c r="G14" s="15">
        <v>87</v>
      </c>
      <c r="I14" s="2" t="s">
        <v>15</v>
      </c>
      <c r="J14">
        <f>AVERAGEIF(F3:F22,"Tableau",G3:G22)</f>
        <v>74</v>
      </c>
    </row>
    <row r="15" spans="1:13" x14ac:dyDescent="0.3">
      <c r="A15" s="15">
        <v>134</v>
      </c>
      <c r="B15" s="16" t="s">
        <v>67</v>
      </c>
      <c r="C15" s="16" t="s">
        <v>68</v>
      </c>
      <c r="D15" s="15">
        <v>22</v>
      </c>
      <c r="E15" s="16" t="s">
        <v>21</v>
      </c>
      <c r="F15" s="16" t="s">
        <v>15</v>
      </c>
      <c r="G15" s="15">
        <v>79</v>
      </c>
      <c r="I15" s="2" t="s">
        <v>22</v>
      </c>
      <c r="J15">
        <f>AVERAGEIF(F4:F23,"SQL",G4:G23)</f>
        <v>77</v>
      </c>
    </row>
    <row r="16" spans="1:13" x14ac:dyDescent="0.3">
      <c r="A16" s="15">
        <v>135</v>
      </c>
      <c r="B16" s="16" t="s">
        <v>71</v>
      </c>
      <c r="C16" s="16"/>
      <c r="D16" s="15">
        <v>24</v>
      </c>
      <c r="E16" s="16" t="s">
        <v>9</v>
      </c>
      <c r="F16" s="16" t="s">
        <v>27</v>
      </c>
      <c r="G16" s="15">
        <v>81</v>
      </c>
      <c r="I16" s="2" t="s">
        <v>27</v>
      </c>
      <c r="J16" s="37">
        <f>AVERAGEIF(F5:F24,"ML",G5:G24)</f>
        <v>66.333333333333329</v>
      </c>
    </row>
    <row r="17" spans="1:10" x14ac:dyDescent="0.3">
      <c r="A17" s="15">
        <v>136</v>
      </c>
      <c r="B17" s="16" t="s">
        <v>72</v>
      </c>
      <c r="C17" s="16" t="s">
        <v>73</v>
      </c>
      <c r="D17" s="15">
        <v>25</v>
      </c>
      <c r="E17" s="16" t="s">
        <v>14</v>
      </c>
      <c r="F17" s="16" t="s">
        <v>10</v>
      </c>
      <c r="G17" s="15">
        <v>56</v>
      </c>
      <c r="I17" s="2" t="s">
        <v>53</v>
      </c>
      <c r="J17">
        <f>AVERAGEIF(F6:F25,"Power BI",G6:G25)</f>
        <v>82.5</v>
      </c>
    </row>
    <row r="18" spans="1:10" x14ac:dyDescent="0.3">
      <c r="A18" s="15">
        <v>137</v>
      </c>
      <c r="B18" s="16" t="s">
        <v>75</v>
      </c>
      <c r="C18" s="16" t="s">
        <v>63</v>
      </c>
      <c r="D18" s="15">
        <v>21</v>
      </c>
      <c r="E18" s="16" t="s">
        <v>32</v>
      </c>
      <c r="F18" s="16" t="s">
        <v>27</v>
      </c>
      <c r="G18" s="15">
        <v>49</v>
      </c>
    </row>
    <row r="19" spans="1:10" x14ac:dyDescent="0.3">
      <c r="A19" s="15">
        <v>138</v>
      </c>
      <c r="B19" s="16" t="s">
        <v>77</v>
      </c>
      <c r="C19" s="16" t="s">
        <v>8</v>
      </c>
      <c r="D19" s="15">
        <v>26</v>
      </c>
      <c r="E19" s="16" t="s">
        <v>69</v>
      </c>
      <c r="F19" s="16" t="s">
        <v>10</v>
      </c>
      <c r="G19" s="15">
        <v>73</v>
      </c>
    </row>
    <row r="20" spans="1:10" x14ac:dyDescent="0.3">
      <c r="A20" s="15">
        <v>139</v>
      </c>
      <c r="B20" s="16" t="s">
        <v>81</v>
      </c>
      <c r="C20" s="16" t="s">
        <v>13</v>
      </c>
      <c r="D20" s="15">
        <v>24</v>
      </c>
      <c r="E20" s="16" t="s">
        <v>69</v>
      </c>
      <c r="F20" s="16" t="s">
        <v>22</v>
      </c>
      <c r="G20" s="15">
        <v>76</v>
      </c>
    </row>
    <row r="21" spans="1:10" x14ac:dyDescent="0.3">
      <c r="A21" s="15">
        <v>140</v>
      </c>
      <c r="B21" s="16" t="s">
        <v>82</v>
      </c>
      <c r="C21" s="16" t="s">
        <v>8</v>
      </c>
      <c r="D21" s="15">
        <v>23</v>
      </c>
      <c r="E21" s="16" t="s">
        <v>21</v>
      </c>
      <c r="F21" s="16" t="s">
        <v>10</v>
      </c>
      <c r="G21" s="15">
        <v>82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Ex1</vt:lpstr>
      <vt:lpstr>Ex2</vt:lpstr>
      <vt:lpstr>Ex3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Utkarsh Tiwary</dc:creator>
  <cp:lastModifiedBy>madhuraggarwal3686@gmail.com</cp:lastModifiedBy>
  <dcterms:created xsi:type="dcterms:W3CDTF">2025-02-01T03:05:08Z</dcterms:created>
  <dcterms:modified xsi:type="dcterms:W3CDTF">2026-09-01T19:58:59Z</dcterms:modified>
</cp:coreProperties>
</file>